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untry Data" sheetId="2" state="visible" r:id="rId4"/>
    <sheet name="Assumptions" sheetId="3" state="visible" r:id="rId5"/>
    <sheet name="Employment Cost" sheetId="4" state="visible" r:id="rId6"/>
    <sheet name="Replacement Cost" sheetId="5" state="visible" r:id="rId7"/>
    <sheet name="Leave Cost" sheetId="6" state="visible" r:id="rId8"/>
    <sheet name="Compare Loc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<sst xmlns="http://schemas.openxmlformats.org/spreadsheetml/2006/main" count="281" uniqueCount="242">
  <si>
    <t xml:space="preserve">NUTRITION INTERNATIONAL — STAFF COST SCENARIO PLANNER</t>
  </si>
  <si>
    <t xml:space="preserve">Corporate Finance &amp; Business Planning Tool  ·  FY 2025–26</t>
  </si>
  <si>
    <t xml:space="preserve">PURPOSE</t>
  </si>
  <si>
    <t xml:space="preserve">  This tool helps managers scenario-plan the true cost of hiring staff across all Nutrition International office locations.</t>
  </si>
  <si>
    <t xml:space="preserve">  It includes three cost calculators: total annual employment cost, cost of replacing a departing employee, and cost of staff leave.</t>
  </si>
  <si>
    <t xml:space="preserve">WORKBOOK TABS</t>
  </si>
  <si>
    <t xml:space="preserve">  1.  Country Data        — Employer contribution rates and leave entitlements for all 11 NI locations</t>
  </si>
  <si>
    <t xml:space="preserve">  2.  Assumptions         — Shared inputs used across all calculators (edit these cells to model scenarios)</t>
  </si>
  <si>
    <t xml:space="preserve">  3.  Employment Cost     — Annual cost of employing one person: salary + mandatory contributions + benefits</t>
  </si>
  <si>
    <t xml:space="preserve">  4.  Replacement Cost    — Full cost of replacing a departing employee (recruitment, onboarding, ramp-up)</t>
  </si>
  <si>
    <t xml:space="preserve">  5.  Leave Cost          — Cost when an employee goes on maternity, medical, or extended leave</t>
  </si>
  <si>
    <t xml:space="preserve">  6.  Compare Locations   — Side-by-side comparison of all three costs across selected NI locations</t>
  </si>
  <si>
    <t xml:space="preserve">HOW TO USE</t>
  </si>
  <si>
    <t xml:space="preserve">  Step 1:  Go to the Assumptions tab and enter the position details (salary, seniority, contract type).</t>
  </si>
  <si>
    <t xml:space="preserve">  Step 2:  Adjust the recruitment and leave assumptions as needed for your specific scenario.</t>
  </si>
  <si>
    <t xml:space="preserve">  Step 3:  Open Employment Cost, Replacement Cost, or Leave Cost tabs to see calculations for one location.</t>
  </si>
  <si>
    <t xml:space="preserve">  Step 4:  Use the Compare Locations tab to view up to 4 locations side by side.</t>
  </si>
  <si>
    <t xml:space="preserve">COLOUR CODING</t>
  </si>
  <si>
    <t xml:space="preserve">    Blue text       = Input cells — change these to model different scenarios</t>
  </si>
  <si>
    <t xml:space="preserve">    Black text      = Calculated formulas — do not edit</t>
  </si>
  <si>
    <t xml:space="preserve">    Green text      = Cross-sheet links pulling from Country Data or Assumptions</t>
  </si>
  <si>
    <t xml:space="preserve">    Yellow fill     = Key assumption cells that drive the model</t>
  </si>
  <si>
    <t xml:space="preserve">DATA SOURCES &amp; DISCLAIMERS</t>
  </si>
  <si>
    <t xml:space="preserve">  Employer contribution rates sourced from: PwC Worldwide Tax Summaries (2025), ISSA Country Profiles, national statutory authorities.</t>
  </si>
  <si>
    <t xml:space="preserve">  Exchange rates are indicative only. All figures are estimates — verify with local HR/Finance before budget submission.</t>
  </si>
  <si>
    <t xml:space="preserve">  Leave entitlements reflect statutory minimums; NI policies may exceed these.</t>
  </si>
  <si>
    <t xml:space="preserve">COUNTRY DATA — Employer Contribution Rates &amp; Leave Entitlements (All NI Office Locations)</t>
  </si>
  <si>
    <t xml:space="preserve">Country</t>
  </si>
  <si>
    <t xml:space="preserve">Flag</t>
  </si>
  <si>
    <t xml:space="preserve">Region</t>
  </si>
  <si>
    <t xml:space="preserve">City</t>
  </si>
  <si>
    <t xml:space="preserve">Currency</t>
  </si>
  <si>
    <t xml:space="preserve">FX Rate
(1 USD =)</t>
  </si>
  <si>
    <t xml:space="preserve">Pension /
Retirement
(% salary)</t>
  </si>
  <si>
    <t xml:space="preserve">Health /
Social
(% salary)</t>
  </si>
  <si>
    <t xml:space="preserve">Other
Mandatory
(% salary)</t>
  </si>
  <si>
    <t xml:space="preserve">TOTAL
Mandatory
(%)</t>
  </si>
  <si>
    <t xml:space="preserve">Typical
Benefits
(% salary)</t>
  </si>
  <si>
    <t xml:space="preserve">Govt Leave
Pay Subsidy
(%)</t>
  </si>
  <si>
    <t xml:space="preserve">Maternity
Leave
(weeks)</t>
  </si>
  <si>
    <t xml:space="preserve">Annual Leave
(days/yr)</t>
  </si>
  <si>
    <t xml:space="preserve">Canada</t>
  </si>
  <si>
    <t xml:space="preserve">🇨🇦</t>
  </si>
  <si>
    <t xml:space="preserve">Americas (HQ)</t>
  </si>
  <si>
    <t xml:space="preserve">Ottawa</t>
  </si>
  <si>
    <t xml:space="preserve">CAD</t>
  </si>
  <si>
    <t xml:space="preserve">Kenya</t>
  </si>
  <si>
    <t xml:space="preserve">🇰🇪</t>
  </si>
  <si>
    <t xml:space="preserve">Africa</t>
  </si>
  <si>
    <t xml:space="preserve">Nairobi</t>
  </si>
  <si>
    <t xml:space="preserve">KES</t>
  </si>
  <si>
    <t xml:space="preserve">Ethiopia</t>
  </si>
  <si>
    <t xml:space="preserve">🇪🇹</t>
  </si>
  <si>
    <t xml:space="preserve">Addis Ababa</t>
  </si>
  <si>
    <t xml:space="preserve">ETB</t>
  </si>
  <si>
    <t xml:space="preserve">Nigeria</t>
  </si>
  <si>
    <t xml:space="preserve">🇳🇬</t>
  </si>
  <si>
    <t xml:space="preserve">Abuja</t>
  </si>
  <si>
    <t xml:space="preserve">NGN</t>
  </si>
  <si>
    <t xml:space="preserve">Senegal</t>
  </si>
  <si>
    <t xml:space="preserve">🇸🇳</t>
  </si>
  <si>
    <t xml:space="preserve">Africa (Sahel)</t>
  </si>
  <si>
    <t xml:space="preserve">Dakar</t>
  </si>
  <si>
    <t xml:space="preserve">XOF</t>
  </si>
  <si>
    <t xml:space="preserve">Tanzania</t>
  </si>
  <si>
    <t xml:space="preserve">🇹🇿</t>
  </si>
  <si>
    <t xml:space="preserve">Dar es Salaam</t>
  </si>
  <si>
    <t xml:space="preserve">TZS</t>
  </si>
  <si>
    <t xml:space="preserve">India</t>
  </si>
  <si>
    <t xml:space="preserve">🇮🇳</t>
  </si>
  <si>
    <t xml:space="preserve">Asia (Regional HQ)</t>
  </si>
  <si>
    <t xml:space="preserve">New Delhi</t>
  </si>
  <si>
    <t xml:space="preserve">INR</t>
  </si>
  <si>
    <t xml:space="preserve">Bangladesh</t>
  </si>
  <si>
    <t xml:space="preserve">🇧🇩</t>
  </si>
  <si>
    <t xml:space="preserve">Asia</t>
  </si>
  <si>
    <t xml:space="preserve">Dhaka</t>
  </si>
  <si>
    <t xml:space="preserve">BDT</t>
  </si>
  <si>
    <t xml:space="preserve">Indonesia</t>
  </si>
  <si>
    <t xml:space="preserve">🇮🇩</t>
  </si>
  <si>
    <t xml:space="preserve">Jakarta</t>
  </si>
  <si>
    <t xml:space="preserve">IDR</t>
  </si>
  <si>
    <t xml:space="preserve">Pakistan</t>
  </si>
  <si>
    <t xml:space="preserve">🇵🇰</t>
  </si>
  <si>
    <t xml:space="preserve">Islamabad</t>
  </si>
  <si>
    <t xml:space="preserve">PKR</t>
  </si>
  <si>
    <t xml:space="preserve">Philippines</t>
  </si>
  <si>
    <t xml:space="preserve">🇵🇭</t>
  </si>
  <si>
    <t xml:space="preserve">Manila</t>
  </si>
  <si>
    <t xml:space="preserve">PHP</t>
  </si>
  <si>
    <t xml:space="preserve">Sources: PwC Worldwide Tax Summaries (2025) · ISSA Country Profiles · National statutory authorities. Rates are indicative — verify before submission.</t>
  </si>
  <si>
    <t xml:space="preserve">SCENARIO ASSUMPTIONS — Edit blue/yellow cells to model different scenarios</t>
  </si>
  <si>
    <t xml:space="preserve">A.  POSITION DETAILS</t>
  </si>
  <si>
    <t xml:space="preserve">Job Title</t>
  </si>
  <si>
    <t xml:space="preserve">Program Officer</t>
  </si>
  <si>
    <t xml:space="preserve">text</t>
  </si>
  <si>
    <t xml:space="preserve">For reference only</t>
  </si>
  <si>
    <t xml:space="preserve">Seniority Level</t>
  </si>
  <si>
    <t xml:space="preserve">Mid-Level (3-7 yrs)</t>
  </si>
  <si>
    <t xml:space="preserve">Junior / Mid-Level / Senior / Director</t>
  </si>
  <si>
    <t xml:space="preserve">Annual Base Salary</t>
  </si>
  <si>
    <t xml:space="preserve">USD equivalent</t>
  </si>
  <si>
    <t xml:space="preserve">Enter in USD. FX conversion shown on Country Data tab.</t>
  </si>
  <si>
    <t xml:space="preserve">Contract Type</t>
  </si>
  <si>
    <t xml:space="preserve">Permanent</t>
  </si>
  <si>
    <t xml:space="preserve">Permanent / Fixed-Term / Consultant</t>
  </si>
  <si>
    <t xml:space="preserve">B.  RECRUITMENT ASSUMPTIONS</t>
  </si>
  <si>
    <t xml:space="preserve">Recruitment Agency Fee</t>
  </si>
  <si>
    <t xml:space="preserve">% of annual salary</t>
  </si>
  <si>
    <t xml:space="preserve">Typical range: 12–25%. Use 0% for direct/internal recruitment.</t>
  </si>
  <si>
    <t xml:space="preserve">Job Advertising Cost</t>
  </si>
  <si>
    <t xml:space="preserve">USD</t>
  </si>
  <si>
    <t xml:space="preserve">Job boards, LinkedIn, local postings</t>
  </si>
  <si>
    <t xml:space="preserve">Total Interview Hours (panel)</t>
  </si>
  <si>
    <t xml:space="preserve">hours</t>
  </si>
  <si>
    <t xml:space="preserve">Total interviewer-hours across all rounds</t>
  </si>
  <si>
    <t xml:space="preserve">Onboarding &amp; Training Cost</t>
  </si>
  <si>
    <t xml:space="preserve">Materials, induction time, IT setup</t>
  </si>
  <si>
    <t xml:space="preserve">Ramp-up Period</t>
  </si>
  <si>
    <t xml:space="preserve">months</t>
  </si>
  <si>
    <t xml:space="preserve">Time until new hire reaches full productivity</t>
  </si>
  <si>
    <t xml:space="preserve">Productivity During Ramp-up</t>
  </si>
  <si>
    <t xml:space="preserve">% of full output</t>
  </si>
  <si>
    <t xml:space="preserve">Typical range: 40–70%</t>
  </si>
  <si>
    <t xml:space="preserve">Knowledge &amp; Handover Loss</t>
  </si>
  <si>
    <t xml:space="preserve">Institutional knowledge, client relationships, documentation</t>
  </si>
  <si>
    <t xml:space="preserve">C.  LEAVE ASSUMPTIONS</t>
  </si>
  <si>
    <t xml:space="preserve">Temp / Backfill Daily Rate</t>
  </si>
  <si>
    <t xml:space="preserve">USD/day</t>
  </si>
  <si>
    <t xml:space="preserve">Daily cost of temporary cover or backfill person</t>
  </si>
  <si>
    <t xml:space="preserve">Maternity Leave Duration (scenario)</t>
  </si>
  <si>
    <t xml:space="preserve">weeks</t>
  </si>
  <si>
    <t xml:space="preserve">Override statutory minimum if NI policy is more generous</t>
  </si>
  <si>
    <t xml:space="preserve">Medical Leave Duration (scenario)</t>
  </si>
  <si>
    <t xml:space="preserve">Duration for the leave cost scenario</t>
  </si>
  <si>
    <t xml:space="preserve">Employer Continues Full Salary?</t>
  </si>
  <si>
    <t xml:space="preserve">Yes</t>
  </si>
  <si>
    <t xml:space="preserve">Yes/Partial/No</t>
  </si>
  <si>
    <t xml:space="preserve">Yes = employer bears full salary; No = statutory benefit only</t>
  </si>
  <si>
    <t xml:space="preserve">Team Productivity Impact</t>
  </si>
  <si>
    <t xml:space="preserve">% of leave salary</t>
  </si>
  <si>
    <t xml:space="preserve">Overhead from covering duties, knowledge gaps, re-training</t>
  </si>
  <si>
    <t xml:space="preserve">📂  2026 SALARY STRUCTURES ON SHAREPOINT</t>
  </si>
  <si>
    <t xml:space="preserve">People &amp; Culture SharePoint  ›  Total Rewards  ›  Employee Compensation  ›  2025 Salary Admin  ›  Jan 2026 Salary Structures .xlsx</t>
  </si>
  <si>
    <t xml:space="preserve">URL: https://nutritionintl.sharepoint.com/sites/M365_PeopleandCulture/Shared Documents/Total Rewards/Employee Compensation/2025 Salary Admin/Jan 2026 Salary Structures .xlsx</t>
  </si>
  <si>
    <t xml:space="preserve">ANNUAL EMPLOYMENT COST CALCULATOR</t>
  </si>
  <si>
    <t xml:space="preserve">Select Location:</t>
  </si>
  <si>
    <t xml:space="preserve">← Select country. Salary &amp; assumptions from the Assumptions tab.</t>
  </si>
  <si>
    <t xml:space="preserve">POSITION DETAILS</t>
  </si>
  <si>
    <t xml:space="preserve">Seniority</t>
  </si>
  <si>
    <t xml:space="preserve">Selected Country</t>
  </si>
  <si>
    <t xml:space="preserve">Country Region</t>
  </si>
  <si>
    <t xml:space="preserve">Office City</t>
  </si>
  <si>
    <t xml:space="preserve">Local Currency</t>
  </si>
  <si>
    <t xml:space="preserve">Indicative FX Rate</t>
  </si>
  <si>
    <t xml:space="preserve">ANNUAL COST BREAKDOWN</t>
  </si>
  <si>
    <t xml:space="preserve">Base Annual Salary</t>
  </si>
  <si>
    <t xml:space="preserve">Mandatory Contributions (% of salary)</t>
  </si>
  <si>
    <t xml:space="preserve">Mandatory Contributions (USD)</t>
  </si>
  <si>
    <t xml:space="preserve">Employer Benefits % (est.)</t>
  </si>
  <si>
    <t xml:space="preserve">Employer Benefits (USD)</t>
  </si>
  <si>
    <t xml:space="preserve">Total Employer On-Cost Burden %</t>
  </si>
  <si>
    <t xml:space="preserve">TOTAL ANNUAL EMPLOYMENT COST (USD)</t>
  </si>
  <si>
    <t xml:space="preserve">CONTRIBUTION DETAIL BY SCHEME</t>
  </si>
  <si>
    <t xml:space="preserve">  Pension / Retirement Contribution %</t>
  </si>
  <si>
    <t xml:space="preserve">  Pension / Retirement (USD/yr)</t>
  </si>
  <si>
    <t xml:space="preserve">  Health / Social Insurance %</t>
  </si>
  <si>
    <t xml:space="preserve">  Health / Social Insurance (USD/yr)</t>
  </si>
  <si>
    <t xml:space="preserve">  Other Mandatory Contributions %</t>
  </si>
  <si>
    <t xml:space="preserve">  Other Mandatory Contributions (USD/yr)</t>
  </si>
  <si>
    <t xml:space="preserve">  Employer Benefits (health, life, etc.)</t>
  </si>
  <si>
    <t xml:space="preserve">  Govt Leave Pay Subsidy (maternity)</t>
  </si>
  <si>
    <t xml:space="preserve">LOCAL CURRENCY EQUIVALENT</t>
  </si>
  <si>
    <t xml:space="preserve">  Total Employment Cost in Local Currency</t>
  </si>
  <si>
    <t xml:space="preserve">  Monthly Cost in Local Currency</t>
  </si>
  <si>
    <t xml:space="preserve">EMPLOYEE REPLACEMENT COST CALCULATOR</t>
  </si>
  <si>
    <t xml:space="preserve">← Salary &amp; assumptions from Assumptions tab</t>
  </si>
  <si>
    <t xml:space="preserve">BG Check $</t>
  </si>
  <si>
    <t xml:space="preserve">REPLACEMENT COST BREAKDOWN</t>
  </si>
  <si>
    <t xml:space="preserve">Base Annual Salary (from Assumptions)</t>
  </si>
  <si>
    <t xml:space="preserve">Daily Rate (salary / 260 working days)</t>
  </si>
  <si>
    <t xml:space="preserve">  1. Recruitment Agency / Search Fee</t>
  </si>
  <si>
    <t xml:space="preserve">  2. Job Advertising &amp; Posting</t>
  </si>
  <si>
    <t xml:space="preserve">  3. Interview Panel Time Cost</t>
  </si>
  <si>
    <t xml:space="preserve">  4. Background &amp; Reference Checks</t>
  </si>
  <si>
    <t xml:space="preserve">  5. Onboarding &amp; Training</t>
  </si>
  <si>
    <t xml:space="preserve">  6. Productivity Loss During Ramp-up</t>
  </si>
  <si>
    <t xml:space="preserve">  7. Knowledge &amp; Handover Loss</t>
  </si>
  <si>
    <t xml:space="preserve">TOTAL REPLACEMENT COST (USD)</t>
  </si>
  <si>
    <t xml:space="preserve">     As % of Annual Base Salary</t>
  </si>
  <si>
    <t xml:space="preserve">ESTIMATED REPLACEMENT TIMELINE</t>
  </si>
  <si>
    <t xml:space="preserve">  Vacancy / Active Recruitment Period</t>
  </si>
  <si>
    <t xml:space="preserve">~8 weeks (assumption)</t>
  </si>
  <si>
    <t xml:space="preserve">  Notice &amp; Handover Period</t>
  </si>
  <si>
    <t xml:space="preserve">  Onboarding &amp; Ramp-up Period</t>
  </si>
  <si>
    <t xml:space="preserve">TOTAL: Weeks to Full Productivity</t>
  </si>
  <si>
    <t xml:space="preserve">STAFF LEAVE COST CALCULATOR</t>
  </si>
  <si>
    <t xml:space="preserve">Leave Type:</t>
  </si>
  <si>
    <t xml:space="preserve">Maternity / Parental</t>
  </si>
  <si>
    <t xml:space="preserve">Leave Duration (weeks):</t>
  </si>
  <si>
    <t xml:space="preserve">Backfill Required?</t>
  </si>
  <si>
    <t xml:space="preserve">Full backfill (hire temp)</t>
  </si>
  <si>
    <t xml:space="preserve">LEAVE COST BREAKDOWN</t>
  </si>
  <si>
    <t xml:space="preserve">Annual Base Salary (from Assumptions)</t>
  </si>
  <si>
    <t xml:space="preserve">Weekly Salary</t>
  </si>
  <si>
    <t xml:space="preserve">  Gross Salary During Leave</t>
  </si>
  <si>
    <t xml:space="preserve">  Less: Government / Statutory Leave Pay</t>
  </si>
  <si>
    <t xml:space="preserve">  Net Salary Cost to Employer</t>
  </si>
  <si>
    <t xml:space="preserve">  Employer Contributions on Salary Paid</t>
  </si>
  <si>
    <t xml:space="preserve">  Backfill / Temporary Cover Cost</t>
  </si>
  <si>
    <t xml:space="preserve">  Team Productivity Impact (est.)</t>
  </si>
  <si>
    <t xml:space="preserve">  Admin &amp; Transition Overhead</t>
  </si>
  <si>
    <t xml:space="preserve">TOTAL LEAVE COST TO ORGANISATION (USD)</t>
  </si>
  <si>
    <t xml:space="preserve">STATUTORY LEAVE ENTITLEMENTS — SELECTED COUNTRY</t>
  </si>
  <si>
    <t xml:space="preserve">  Maternity Leave (statutory)</t>
  </si>
  <si>
    <t xml:space="preserve">  Annual Leave (statutory)</t>
  </si>
  <si>
    <t xml:space="preserve">  Govt Leave Pay Subsidy</t>
  </si>
  <si>
    <t xml:space="preserve">  Total Mandatory Employer Rate</t>
  </si>
  <si>
    <t xml:space="preserve">LOCATION COST COMPARISON — SIDE BY SIDE (UP TO 4 LOCATIONS)</t>
  </si>
  <si>
    <t xml:space="preserve">Base Salary (USD):</t>
  </si>
  <si>
    <t xml:space="preserve">← Pulling from Assumptions tab. Change salary there to update all columns.</t>
  </si>
  <si>
    <t xml:space="preserve">Cost Component</t>
  </si>
  <si>
    <t xml:space="preserve">SECTION 1 — ANNUAL EMPLOYMENT COST</t>
  </si>
  <si>
    <t xml:space="preserve">Base Annual Salary (USD)</t>
  </si>
  <si>
    <t xml:space="preserve">Mandatory Employer Contributions (%)</t>
  </si>
  <si>
    <t xml:space="preserve">Employer Benefits — Health, Life (USD)</t>
  </si>
  <si>
    <t xml:space="preserve">  Employer Burden % (above base salary)</t>
  </si>
  <si>
    <t xml:space="preserve">SECTION 2 — REPLACEMENT COST (if employee departs)</t>
  </si>
  <si>
    <t xml:space="preserve">Recruitment (agency + ads + interviews)</t>
  </si>
  <si>
    <t xml:space="preserve">Background Checks (country-adjusted)</t>
  </si>
  <si>
    <t xml:space="preserve">Onboarding &amp; Training</t>
  </si>
  <si>
    <t xml:space="preserve">Ramp-up Productivity Loss</t>
  </si>
  <si>
    <t xml:space="preserve">  Replacement as % of Annual Salary</t>
  </si>
  <si>
    <t xml:space="preserve">SECTION 3 — LEAVE COST (17 weeks maternity, full backfill)</t>
  </si>
  <si>
    <t xml:space="preserve">Statutory Maternity Leave (weeks)</t>
  </si>
  <si>
    <t xml:space="preserve">Govt Leave Pay Subsidy (%)</t>
  </si>
  <si>
    <t xml:space="preserve">Net Salary Cost to Employer (17 wks)</t>
  </si>
  <si>
    <t xml:space="preserve">Full Backfill Cost (temp @ daily rate)</t>
  </si>
  <si>
    <t xml:space="preserve">TOTAL LEAVE COST — 17 wks (USD)</t>
  </si>
  <si>
    <t xml:space="preserve">WORST CASE: Employment + Replacement Cost</t>
  </si>
  <si>
    <t xml:space="preserve">  Additional if Leave also occurs (+17 wks)</t>
  </si>
  <si>
    <t xml:space="preserve">Notes: Salary pulled from Assumptions tab. Leave cost uses 17 weeks + full backfill. Recruitment uses current assumptions. Select countries using dropdown in row 4.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</si>
</sst>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;\(0.0%\);\-"/>
    <numFmt numFmtId="167" formatCode="0"/>
    <numFmt numFmtId="168" formatCode="\$#,##0;&quot;($&quot;#,##0\);\-"/>
    <numFmt numFmtId="169" formatCode="#,##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A4343A"/>
      <name val="Arial"/>
      <family val="0"/>
      <charset val="1"/>
    </font>
    <font>
      <sz val="9"/>
      <color rgb="FF253746"/>
      <name val="Arial"/>
      <family val="0"/>
      <charset val="1"/>
    </font>
    <font>
      <i val="true"/>
      <sz val="8"/>
      <color rgb="FF00308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53746"/>
        <bgColor rgb="FF333300"/>
      </patternFill>
    </fill>
    <fill>
      <patternFill patternType="solid">
        <fgColor rgb="FFFFFFFF"/>
        <bgColor rgb="FFFAFCFF"/>
      </patternFill>
    </fill>
    <fill>
      <patternFill patternType="solid">
        <fgColor rgb="FFE8F2FB"/>
        <bgColor rgb="FFF0F3F7"/>
      </patternFill>
    </fill>
    <fill>
      <patternFill patternType="solid">
        <fgColor rgb="FF005844"/>
        <bgColor rgb="FF253746"/>
      </patternFill>
    </fill>
    <fill>
      <patternFill patternType="solid">
        <fgColor rgb="FFE8F5EE"/>
        <bgColor rgb="FFE8F2FB"/>
      </patternFill>
    </fill>
    <fill>
      <patternFill patternType="solid">
        <fgColor rgb="FFFAFC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7F0F0"/>
        <bgColor rgb="FFF0F3F7"/>
      </patternFill>
    </fill>
    <fill>
      <patternFill patternType="solid">
        <fgColor rgb="FFF0F3F7"/>
        <bgColor rgb="FFE8F2FB"/>
      </patternFill>
    </fill>
    <fill>
      <patternFill patternType="solid">
        <fgColor rgb="FFA4343A"/>
        <bgColor rgb="FF993366"/>
      </patternFill>
    </fill>
    <fill>
      <patternFill patternType="solid">
        <fgColor rgb="FFFDE8E8"/>
        <bgColor rgb="FFF7F0F0"/>
      </patternFill>
    </fill>
    <fill>
      <patternFill patternType="solid">
        <fgColor rgb="FFDDE4EA"/>
        <bgColor rgb="FFE8F2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88A"/>
      <rgbColor rgb="FFC0C0C0"/>
      <rgbColor rgb="FF888888"/>
      <rgbColor rgb="FF9999FF"/>
      <rgbColor rgb="FFA4343A"/>
      <rgbColor rgb="FFF7F0F0"/>
      <rgbColor rgb="FFE8F5EE"/>
      <rgbColor rgb="FF660066"/>
      <rgbColor rgb="FFFF8080"/>
      <rgbColor rgb="FF0066CC"/>
      <rgbColor rgb="FFDD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2FB"/>
      <rgbColor rgb="FFF0F3F7"/>
      <rgbColor rgb="FFFDE8E8"/>
      <rgbColor rgb="FF99CCFF"/>
      <rgbColor rgb="FFFF99CC"/>
      <rgbColor rgb="FFCC99FF"/>
      <rgbColor rgb="FFFAFCFF"/>
      <rgbColor rgb="FF3366FF"/>
      <rgbColor rgb="FF33CCCC"/>
      <rgbColor rgb="FF99CC00"/>
      <rgbColor rgb="FFFFCC00"/>
      <rgbColor rgb="FFCC8A00"/>
      <rgbColor rgb="FFFF6600"/>
      <rgbColor rgb="FF666699"/>
      <rgbColor rgb="FFAAAAAA"/>
      <rgbColor rgb="FF003087"/>
      <rgbColor rgb="FF339966"/>
      <rgbColor rgb="FF005844"/>
      <rgbColor rgb="FF333300"/>
      <rgbColor rgb="FF993300"/>
      <rgbColor rgb="FF993366"/>
      <rgbColor rgb="FF333399"/>
      <rgbColor rgb="FF25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3746"/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1" width="12"/>
    <col collapsed="false" customWidth="true" hidden="false" outlineLevel="0" max="7" min="7" style="1" width="2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8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2</v>
      </c>
      <c r="B4" s="5"/>
      <c r="C4" s="5"/>
      <c r="D4" s="5"/>
      <c r="E4" s="5"/>
      <c r="F4" s="5"/>
      <c r="G4" s="5"/>
    </row>
    <row r="5" customFormat="false" ht="18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18" hidden="false" customHeight="true" outlineLevel="0" collapsed="false">
      <c r="A6" s="4" t="s">
        <v>4</v>
      </c>
      <c r="B6" s="4"/>
      <c r="C6" s="4"/>
      <c r="D6" s="4"/>
      <c r="E6" s="4"/>
      <c r="F6" s="4"/>
      <c r="G6" s="4"/>
    </row>
    <row r="7" customFormat="false" ht="18" hidden="false" customHeight="true" outlineLevel="0" collapsed="false">
      <c r="A7" s="4"/>
      <c r="B7" s="4"/>
      <c r="C7" s="4"/>
      <c r="D7" s="4"/>
      <c r="E7" s="4"/>
      <c r="F7" s="4"/>
      <c r="G7" s="4"/>
    </row>
    <row r="8" customFormat="false" ht="18" hidden="false" customHeight="true" outlineLevel="0" collapsed="false">
      <c r="A8" s="5" t="s">
        <v>5</v>
      </c>
      <c r="B8" s="5"/>
      <c r="C8" s="5"/>
      <c r="D8" s="5"/>
      <c r="E8" s="5"/>
      <c r="F8" s="5"/>
      <c r="G8" s="5"/>
    </row>
    <row r="9" customFormat="false" ht="18" hidden="false" customHeight="true" outlineLevel="0" collapsed="false">
      <c r="A9" s="4" t="s">
        <v>6</v>
      </c>
      <c r="B9" s="4"/>
      <c r="C9" s="4"/>
      <c r="D9" s="4"/>
      <c r="E9" s="4"/>
      <c r="F9" s="4"/>
      <c r="G9" s="4"/>
    </row>
    <row r="10" customFormat="false" ht="18" hidden="false" customHeight="true" outlineLevel="0" collapsed="false">
      <c r="A10" s="4" t="s">
        <v>7</v>
      </c>
      <c r="B10" s="4"/>
      <c r="C10" s="4"/>
      <c r="D10" s="4"/>
      <c r="E10" s="4"/>
      <c r="F10" s="4"/>
      <c r="G10" s="4"/>
    </row>
    <row r="11" customFormat="false" ht="18" hidden="false" customHeight="true" outlineLevel="0" collapsed="false">
      <c r="A11" s="4" t="s">
        <v>8</v>
      </c>
      <c r="B11" s="4"/>
      <c r="C11" s="4"/>
      <c r="D11" s="4"/>
      <c r="E11" s="4"/>
      <c r="F11" s="4"/>
      <c r="G11" s="4"/>
    </row>
    <row r="12" customFormat="false" ht="18" hidden="false" customHeight="true" outlineLevel="0" collapsed="false">
      <c r="A12" s="4" t="s">
        <v>9</v>
      </c>
      <c r="B12" s="4"/>
      <c r="C12" s="4"/>
      <c r="D12" s="4"/>
      <c r="E12" s="4"/>
      <c r="F12" s="4"/>
      <c r="G12" s="4"/>
    </row>
    <row r="13" customFormat="false" ht="18" hidden="false" customHeight="true" outlineLevel="0" collapsed="false">
      <c r="A13" s="4" t="s">
        <v>10</v>
      </c>
      <c r="B13" s="4"/>
      <c r="C13" s="4"/>
      <c r="D13" s="4"/>
      <c r="E13" s="4"/>
      <c r="F13" s="4"/>
      <c r="G13" s="4"/>
    </row>
    <row r="14" customFormat="false" ht="18" hidden="false" customHeight="true" outlineLevel="0" collapsed="false">
      <c r="A14" s="4" t="s">
        <v>11</v>
      </c>
      <c r="B14" s="4"/>
      <c r="C14" s="4"/>
      <c r="D14" s="4"/>
      <c r="E14" s="4"/>
      <c r="F14" s="4"/>
      <c r="G14" s="4"/>
    </row>
    <row r="15" customFormat="false" ht="18" hidden="false" customHeight="true" outlineLevel="0" collapsed="false">
      <c r="A15" s="4"/>
      <c r="B15" s="4"/>
      <c r="C15" s="4"/>
      <c r="D15" s="4"/>
      <c r="E15" s="4"/>
      <c r="F15" s="4"/>
      <c r="G15" s="4"/>
    </row>
    <row r="16" customFormat="false" ht="18" hidden="false" customHeight="true" outlineLevel="0" collapsed="false">
      <c r="A16" s="5" t="s">
        <v>12</v>
      </c>
      <c r="B16" s="5"/>
      <c r="C16" s="5"/>
      <c r="D16" s="5"/>
      <c r="E16" s="5"/>
      <c r="F16" s="5"/>
      <c r="G16" s="5"/>
    </row>
    <row r="17" customFormat="false" ht="18" hidden="false" customHeight="true" outlineLevel="0" collapsed="false">
      <c r="A17" s="4" t="s">
        <v>13</v>
      </c>
      <c r="B17" s="4"/>
      <c r="C17" s="4"/>
      <c r="D17" s="4"/>
      <c r="E17" s="4"/>
      <c r="F17" s="4"/>
      <c r="G17" s="4"/>
    </row>
    <row r="18" customFormat="false" ht="18" hidden="false" customHeight="true" outlineLevel="0" collapsed="false">
      <c r="A18" s="4" t="s">
        <v>14</v>
      </c>
      <c r="B18" s="4"/>
      <c r="C18" s="4"/>
      <c r="D18" s="4"/>
      <c r="E18" s="4"/>
      <c r="F18" s="4"/>
      <c r="G18" s="4"/>
    </row>
    <row r="19" customFormat="false" ht="18" hidden="false" customHeight="true" outlineLevel="0" collapsed="false">
      <c r="A19" s="4" t="s">
        <v>15</v>
      </c>
      <c r="B19" s="4"/>
      <c r="C19" s="4"/>
      <c r="D19" s="4"/>
      <c r="E19" s="4"/>
      <c r="F19" s="4"/>
      <c r="G19" s="4"/>
    </row>
    <row r="20" customFormat="false" ht="18" hidden="false" customHeight="true" outlineLevel="0" collapsed="false">
      <c r="A20" s="4" t="s">
        <v>16</v>
      </c>
      <c r="B20" s="4"/>
      <c r="C20" s="4"/>
      <c r="D20" s="4"/>
      <c r="E20" s="4"/>
      <c r="F20" s="4"/>
      <c r="G20" s="4"/>
    </row>
    <row r="21" customFormat="false" ht="18" hidden="false" customHeight="true" outlineLevel="0" collapsed="false">
      <c r="A21" s="4"/>
      <c r="B21" s="4"/>
      <c r="C21" s="4"/>
      <c r="D21" s="4"/>
      <c r="E21" s="4"/>
      <c r="F21" s="4"/>
      <c r="G21" s="4"/>
    </row>
    <row r="22" customFormat="false" ht="18" hidden="false" customHeight="true" outlineLevel="0" collapsed="false">
      <c r="A22" s="5" t="s">
        <v>17</v>
      </c>
      <c r="B22" s="5"/>
      <c r="C22" s="5"/>
      <c r="D22" s="5"/>
      <c r="E22" s="5"/>
      <c r="F22" s="5"/>
      <c r="G22" s="5"/>
    </row>
    <row r="23" customFormat="false" ht="18" hidden="false" customHeight="true" outlineLevel="0" collapsed="false">
      <c r="A23" s="4" t="s">
        <v>18</v>
      </c>
      <c r="B23" s="4"/>
      <c r="C23" s="4"/>
      <c r="D23" s="4"/>
      <c r="E23" s="4"/>
      <c r="F23" s="4"/>
      <c r="G23" s="4"/>
    </row>
    <row r="24" customFormat="false" ht="18" hidden="false" customHeight="true" outlineLevel="0" collapsed="false">
      <c r="A24" s="4" t="s">
        <v>19</v>
      </c>
      <c r="B24" s="4"/>
      <c r="C24" s="4"/>
      <c r="D24" s="4"/>
      <c r="E24" s="4"/>
      <c r="F24" s="4"/>
      <c r="G24" s="4"/>
    </row>
    <row r="25" customFormat="false" ht="18" hidden="false" customHeight="true" outlineLevel="0" collapsed="false">
      <c r="A25" s="4" t="s">
        <v>20</v>
      </c>
      <c r="B25" s="4"/>
      <c r="C25" s="4"/>
      <c r="D25" s="4"/>
      <c r="E25" s="4"/>
      <c r="F25" s="4"/>
      <c r="G25" s="4"/>
    </row>
    <row r="26" customFormat="false" ht="18" hidden="false" customHeight="true" outlineLevel="0" collapsed="false">
      <c r="A26" s="4" t="s">
        <v>21</v>
      </c>
      <c r="B26" s="4"/>
      <c r="C26" s="4"/>
      <c r="D26" s="4"/>
      <c r="E26" s="4"/>
      <c r="F26" s="4"/>
      <c r="G26" s="4"/>
    </row>
    <row r="27" customFormat="false" ht="18" hidden="false" customHeight="true" outlineLevel="0" collapsed="false">
      <c r="A27" s="4"/>
      <c r="B27" s="4"/>
      <c r="C27" s="4"/>
      <c r="D27" s="4"/>
      <c r="E27" s="4"/>
      <c r="F27" s="4"/>
      <c r="G27" s="4"/>
    </row>
    <row r="28" customFormat="false" ht="18" hidden="false" customHeight="true" outlineLevel="0" collapsed="false">
      <c r="A28" s="5" t="s">
        <v>22</v>
      </c>
      <c r="B28" s="5"/>
      <c r="C28" s="5"/>
      <c r="D28" s="5"/>
      <c r="E28" s="5"/>
      <c r="F28" s="5"/>
      <c r="G28" s="5"/>
    </row>
    <row r="29" customFormat="false" ht="18" hidden="false" customHeight="true" outlineLevel="0" collapsed="false">
      <c r="A29" s="4" t="s">
        <v>23</v>
      </c>
      <c r="B29" s="4"/>
      <c r="C29" s="4"/>
      <c r="D29" s="4"/>
      <c r="E29" s="4"/>
      <c r="F29" s="4"/>
      <c r="G29" s="4"/>
    </row>
    <row r="30" customFormat="false" ht="18" hidden="false" customHeight="true" outlineLevel="0" collapsed="false">
      <c r="A30" s="4" t="s">
        <v>24</v>
      </c>
      <c r="B30" s="4"/>
      <c r="C30" s="4"/>
      <c r="D30" s="4"/>
      <c r="E30" s="4"/>
      <c r="F30" s="4"/>
      <c r="G30" s="4"/>
    </row>
    <row r="31" customFormat="false" ht="18" hidden="false" customHeight="true" outlineLevel="0" collapsed="false">
      <c r="A31" s="4" t="s">
        <v>25</v>
      </c>
      <c r="B31" s="4"/>
      <c r="C31" s="4"/>
      <c r="D31" s="4"/>
      <c r="E31" s="4"/>
      <c r="F31" s="4"/>
      <c r="G31" s="4"/>
    </row>
    <row r="32" customFormat="false" ht="18" hidden="false" customHeight="true" outlineLevel="0" collapsed="false">
      <c r="A32" s="4"/>
      <c r="B32" s="4"/>
      <c r="C32" s="4"/>
      <c r="D32" s="4"/>
      <c r="E32" s="4"/>
      <c r="F32" s="4"/>
      <c r="G32" s="4"/>
    </row>
  </sheetData>
  <mergeCells count="3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844"/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12" min="7" style="1" width="11"/>
    <col collapsed="false" customWidth="true" hidden="false" outlineLevel="0" max="14" min="13" style="1" width="10"/>
  </cols>
  <sheetData>
    <row r="1" customFormat="false" ht="27.75" hidden="false" customHeight="true" outlineLevel="0" collapsed="false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48" hidden="false" customHeight="true" outlineLevel="0" collapsed="false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  <c r="M2" s="7" t="s">
        <v>39</v>
      </c>
      <c r="N2" s="7" t="s">
        <v>40</v>
      </c>
    </row>
    <row r="3" customFormat="false" ht="19.5" hidden="false" customHeight="true" outlineLevel="0" collapsed="false">
      <c r="A3" s="8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10" t="n">
        <v>1.4</v>
      </c>
      <c r="G3" s="11" t="n">
        <v>5.95</v>
      </c>
      <c r="H3" s="11" t="n">
        <v>2.32</v>
      </c>
      <c r="I3" s="11" t="n">
        <v>0</v>
      </c>
      <c r="J3" s="12" t="n">
        <v>8.27</v>
      </c>
      <c r="K3" s="11" t="n">
        <v>7</v>
      </c>
      <c r="L3" s="11" t="n">
        <v>55</v>
      </c>
      <c r="M3" s="13" t="n">
        <v>17</v>
      </c>
      <c r="N3" s="13" t="n">
        <v>15</v>
      </c>
    </row>
    <row r="4" customFormat="false" ht="19.5" hidden="false" customHeight="true" outlineLevel="0" collapsed="false">
      <c r="A4" s="14" t="s">
        <v>46</v>
      </c>
      <c r="B4" s="15" t="s">
        <v>47</v>
      </c>
      <c r="C4" s="15" t="s">
        <v>48</v>
      </c>
      <c r="D4" s="15" t="s">
        <v>49</v>
      </c>
      <c r="E4" s="15" t="s">
        <v>50</v>
      </c>
      <c r="F4" s="16" t="n">
        <v>129.9</v>
      </c>
      <c r="G4" s="17" t="n">
        <v>2</v>
      </c>
      <c r="H4" s="17" t="n">
        <v>6.25</v>
      </c>
      <c r="I4" s="17" t="n">
        <v>0</v>
      </c>
      <c r="J4" s="12" t="n">
        <v>8.25</v>
      </c>
      <c r="K4" s="17" t="n">
        <v>4</v>
      </c>
      <c r="L4" s="17" t="n">
        <v>0</v>
      </c>
      <c r="M4" s="18" t="n">
        <v>13</v>
      </c>
      <c r="N4" s="18" t="n">
        <v>21</v>
      </c>
    </row>
    <row r="5" customFormat="false" ht="19.5" hidden="false" customHeight="true" outlineLevel="0" collapsed="false">
      <c r="A5" s="8" t="s">
        <v>51</v>
      </c>
      <c r="B5" s="9" t="s">
        <v>52</v>
      </c>
      <c r="C5" s="9" t="s">
        <v>48</v>
      </c>
      <c r="D5" s="9" t="s">
        <v>53</v>
      </c>
      <c r="E5" s="9" t="s">
        <v>54</v>
      </c>
      <c r="F5" s="10" t="n">
        <v>113.6</v>
      </c>
      <c r="G5" s="11" t="n">
        <v>11</v>
      </c>
      <c r="H5" s="11" t="n">
        <v>0</v>
      </c>
      <c r="I5" s="11" t="n">
        <v>0</v>
      </c>
      <c r="J5" s="12" t="n">
        <v>11</v>
      </c>
      <c r="K5" s="11" t="n">
        <v>3</v>
      </c>
      <c r="L5" s="11" t="n">
        <v>0</v>
      </c>
      <c r="M5" s="13" t="n">
        <v>13</v>
      </c>
      <c r="N5" s="13" t="n">
        <v>16</v>
      </c>
    </row>
    <row r="6" customFormat="false" ht="19.5" hidden="false" customHeight="true" outlineLevel="0" collapsed="false">
      <c r="A6" s="14" t="s">
        <v>55</v>
      </c>
      <c r="B6" s="15" t="s">
        <v>56</v>
      </c>
      <c r="C6" s="15" t="s">
        <v>48</v>
      </c>
      <c r="D6" s="15" t="s">
        <v>57</v>
      </c>
      <c r="E6" s="15" t="s">
        <v>58</v>
      </c>
      <c r="F6" s="16" t="n">
        <v>1538.5</v>
      </c>
      <c r="G6" s="17" t="n">
        <v>10</v>
      </c>
      <c r="H6" s="17" t="n">
        <v>0</v>
      </c>
      <c r="I6" s="17" t="n">
        <v>2</v>
      </c>
      <c r="J6" s="12" t="n">
        <v>12</v>
      </c>
      <c r="K6" s="17" t="n">
        <v>4.5</v>
      </c>
      <c r="L6" s="17" t="n">
        <v>0</v>
      </c>
      <c r="M6" s="18" t="n">
        <v>12</v>
      </c>
      <c r="N6" s="18" t="n">
        <v>21</v>
      </c>
    </row>
    <row r="7" customFormat="false" ht="19.5" hidden="false" customHeight="true" outlineLevel="0" collapsed="false">
      <c r="A7" s="8" t="s">
        <v>59</v>
      </c>
      <c r="B7" s="9" t="s">
        <v>60</v>
      </c>
      <c r="C7" s="9" t="s">
        <v>61</v>
      </c>
      <c r="D7" s="9" t="s">
        <v>62</v>
      </c>
      <c r="E7" s="9" t="s">
        <v>63</v>
      </c>
      <c r="F7" s="10" t="n">
        <v>613.5</v>
      </c>
      <c r="G7" s="11" t="n">
        <v>14</v>
      </c>
      <c r="H7" s="11" t="n">
        <v>7</v>
      </c>
      <c r="I7" s="11" t="n">
        <v>12</v>
      </c>
      <c r="J7" s="12" t="n">
        <v>33</v>
      </c>
      <c r="K7" s="11" t="n">
        <v>3</v>
      </c>
      <c r="L7" s="11" t="n">
        <v>0</v>
      </c>
      <c r="M7" s="13" t="n">
        <v>14</v>
      </c>
      <c r="N7" s="13" t="n">
        <v>24</v>
      </c>
    </row>
    <row r="8" customFormat="false" ht="19.5" hidden="false" customHeight="true" outlineLevel="0" collapsed="false">
      <c r="A8" s="14" t="s">
        <v>64</v>
      </c>
      <c r="B8" s="15" t="s">
        <v>65</v>
      </c>
      <c r="C8" s="15" t="s">
        <v>48</v>
      </c>
      <c r="D8" s="15" t="s">
        <v>66</v>
      </c>
      <c r="E8" s="15" t="s">
        <v>67</v>
      </c>
      <c r="F8" s="16" t="n">
        <v>2564.1</v>
      </c>
      <c r="G8" s="17" t="n">
        <v>10</v>
      </c>
      <c r="H8" s="17" t="n">
        <v>0</v>
      </c>
      <c r="I8" s="17" t="n">
        <v>4.5</v>
      </c>
      <c r="J8" s="12" t="n">
        <v>14.5</v>
      </c>
      <c r="K8" s="17" t="n">
        <v>3.5</v>
      </c>
      <c r="L8" s="17" t="n">
        <v>0</v>
      </c>
      <c r="M8" s="18" t="n">
        <v>13</v>
      </c>
      <c r="N8" s="18" t="n">
        <v>28</v>
      </c>
    </row>
    <row r="9" customFormat="false" ht="19.5" hidden="false" customHeight="true" outlineLevel="0" collapsed="false">
      <c r="A9" s="8" t="s">
        <v>68</v>
      </c>
      <c r="B9" s="9" t="s">
        <v>69</v>
      </c>
      <c r="C9" s="9" t="s">
        <v>70</v>
      </c>
      <c r="D9" s="9" t="s">
        <v>71</v>
      </c>
      <c r="E9" s="9" t="s">
        <v>72</v>
      </c>
      <c r="F9" s="10" t="n">
        <v>83.3</v>
      </c>
      <c r="G9" s="11" t="n">
        <v>12</v>
      </c>
      <c r="H9" s="11" t="n">
        <v>3.25</v>
      </c>
      <c r="I9" s="11" t="n">
        <v>4.81</v>
      </c>
      <c r="J9" s="12" t="n">
        <v>20.06</v>
      </c>
      <c r="K9" s="11" t="n">
        <v>3.5</v>
      </c>
      <c r="L9" s="11" t="n">
        <v>0</v>
      </c>
      <c r="M9" s="13" t="n">
        <v>26</v>
      </c>
      <c r="N9" s="13" t="n">
        <v>15</v>
      </c>
    </row>
    <row r="10" customFormat="false" ht="19.5" hidden="false" customHeight="true" outlineLevel="0" collapsed="false">
      <c r="A10" s="14" t="s">
        <v>73</v>
      </c>
      <c r="B10" s="15" t="s">
        <v>74</v>
      </c>
      <c r="C10" s="15" t="s">
        <v>75</v>
      </c>
      <c r="D10" s="15" t="s">
        <v>76</v>
      </c>
      <c r="E10" s="15" t="s">
        <v>77</v>
      </c>
      <c r="F10" s="16" t="n">
        <v>109.9</v>
      </c>
      <c r="G10" s="17" t="n">
        <v>10</v>
      </c>
      <c r="H10" s="17" t="n">
        <v>0</v>
      </c>
      <c r="I10" s="17" t="n">
        <v>4.17</v>
      </c>
      <c r="J10" s="12" t="n">
        <v>14.17</v>
      </c>
      <c r="K10" s="17" t="n">
        <v>2.5</v>
      </c>
      <c r="L10" s="17" t="n">
        <v>0</v>
      </c>
      <c r="M10" s="18" t="n">
        <v>16</v>
      </c>
      <c r="N10" s="18" t="n">
        <v>10</v>
      </c>
    </row>
    <row r="11" customFormat="false" ht="19.5" hidden="false" customHeight="true" outlineLevel="0" collapsed="false">
      <c r="A11" s="8" t="s">
        <v>78</v>
      </c>
      <c r="B11" s="9" t="s">
        <v>79</v>
      </c>
      <c r="C11" s="9" t="s">
        <v>75</v>
      </c>
      <c r="D11" s="9" t="s">
        <v>80</v>
      </c>
      <c r="E11" s="9" t="s">
        <v>81</v>
      </c>
      <c r="F11" s="10" t="n">
        <v>16129</v>
      </c>
      <c r="G11" s="11" t="n">
        <v>3.7</v>
      </c>
      <c r="H11" s="11" t="n">
        <v>4</v>
      </c>
      <c r="I11" s="11" t="n">
        <v>3.1</v>
      </c>
      <c r="J11" s="12" t="n">
        <v>10.8</v>
      </c>
      <c r="K11" s="11" t="n">
        <v>3</v>
      </c>
      <c r="L11" s="11" t="n">
        <v>0</v>
      </c>
      <c r="M11" s="13" t="n">
        <v>13</v>
      </c>
      <c r="N11" s="13" t="n">
        <v>12</v>
      </c>
    </row>
    <row r="12" customFormat="false" ht="19.5" hidden="false" customHeight="true" outlineLevel="0" collapsed="false">
      <c r="A12" s="14" t="s">
        <v>82</v>
      </c>
      <c r="B12" s="15" t="s">
        <v>83</v>
      </c>
      <c r="C12" s="15" t="s">
        <v>75</v>
      </c>
      <c r="D12" s="15" t="s">
        <v>84</v>
      </c>
      <c r="E12" s="15" t="s">
        <v>85</v>
      </c>
      <c r="F12" s="16" t="n">
        <v>277.8</v>
      </c>
      <c r="G12" s="17" t="n">
        <v>5</v>
      </c>
      <c r="H12" s="17" t="n">
        <v>6</v>
      </c>
      <c r="I12" s="17" t="n">
        <v>0</v>
      </c>
      <c r="J12" s="12" t="n">
        <v>11</v>
      </c>
      <c r="K12" s="17" t="n">
        <v>3</v>
      </c>
      <c r="L12" s="17" t="n">
        <v>0</v>
      </c>
      <c r="M12" s="18" t="n">
        <v>12</v>
      </c>
      <c r="N12" s="18" t="n">
        <v>14</v>
      </c>
    </row>
    <row r="13" customFormat="false" ht="19.5" hidden="false" customHeight="true" outlineLevel="0" collapsed="false">
      <c r="A13" s="8" t="s">
        <v>86</v>
      </c>
      <c r="B13" s="9" t="s">
        <v>87</v>
      </c>
      <c r="C13" s="9" t="s">
        <v>75</v>
      </c>
      <c r="D13" s="9" t="s">
        <v>88</v>
      </c>
      <c r="E13" s="9" t="s">
        <v>89</v>
      </c>
      <c r="F13" s="10" t="n">
        <v>55.6</v>
      </c>
      <c r="G13" s="11" t="n">
        <v>9.5</v>
      </c>
      <c r="H13" s="11" t="n">
        <v>2.5</v>
      </c>
      <c r="I13" s="11" t="n">
        <v>2</v>
      </c>
      <c r="J13" s="12" t="n">
        <v>14</v>
      </c>
      <c r="K13" s="11" t="n">
        <v>3.5</v>
      </c>
      <c r="L13" s="11" t="n">
        <v>80</v>
      </c>
      <c r="M13" s="13" t="n">
        <v>11</v>
      </c>
      <c r="N13" s="13" t="n">
        <v>5</v>
      </c>
    </row>
    <row r="14" customFormat="false" ht="15" hidden="false" customHeight="true" outlineLevel="0" collapsed="false">
      <c r="A14" s="19" t="s">
        <v>90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</sheetData>
  <mergeCells count="2">
    <mergeCell ref="A1:N1"/>
    <mergeCell ref="A14:N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8A00"/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5"/>
  </cols>
  <sheetData>
    <row r="1" customFormat="false" ht="27.75" hidden="false" customHeight="true" outlineLevel="0" collapsed="false">
      <c r="A1" s="20" t="s">
        <v>91</v>
      </c>
      <c r="B1" s="20"/>
      <c r="C1" s="20"/>
      <c r="D1" s="20"/>
      <c r="E1" s="20"/>
    </row>
    <row r="2" customFormat="false" ht="19.5" hidden="false" customHeight="true" outlineLevel="0" collapsed="false">
      <c r="A2" s="21" t="s">
        <v>92</v>
      </c>
      <c r="B2" s="21"/>
      <c r="C2" s="21"/>
      <c r="D2" s="21"/>
      <c r="E2" s="21"/>
    </row>
    <row r="3" customFormat="false" ht="18" hidden="false" customHeight="true" outlineLevel="0" collapsed="false">
      <c r="A3" s="22" t="s">
        <v>93</v>
      </c>
      <c r="B3" s="23" t="s">
        <v>94</v>
      </c>
      <c r="C3" s="24" t="s">
        <v>95</v>
      </c>
      <c r="D3" s="25" t="s">
        <v>96</v>
      </c>
      <c r="E3" s="25"/>
    </row>
    <row r="4" customFormat="false" ht="18" hidden="false" customHeight="true" outlineLevel="0" collapsed="false">
      <c r="A4" s="22" t="s">
        <v>97</v>
      </c>
      <c r="B4" s="23" t="s">
        <v>98</v>
      </c>
      <c r="C4" s="24" t="s">
        <v>95</v>
      </c>
      <c r="D4" s="25" t="s">
        <v>99</v>
      </c>
      <c r="E4" s="25"/>
    </row>
    <row r="5" customFormat="false" ht="18" hidden="false" customHeight="true" outlineLevel="0" collapsed="false">
      <c r="A5" s="22" t="s">
        <v>100</v>
      </c>
      <c r="B5" s="26" t="n">
        <v>45000</v>
      </c>
      <c r="C5" s="24" t="s">
        <v>101</v>
      </c>
      <c r="D5" s="25" t="s">
        <v>102</v>
      </c>
      <c r="E5" s="25"/>
    </row>
    <row r="6" customFormat="false" ht="18" hidden="false" customHeight="true" outlineLevel="0" collapsed="false">
      <c r="A6" s="22" t="s">
        <v>103</v>
      </c>
      <c r="B6" s="23" t="s">
        <v>104</v>
      </c>
      <c r="C6" s="24" t="s">
        <v>95</v>
      </c>
      <c r="D6" s="25" t="s">
        <v>105</v>
      </c>
      <c r="E6" s="25"/>
    </row>
    <row r="7" customFormat="false" ht="15" hidden="false" customHeight="false" outlineLevel="0" collapsed="false">
      <c r="A7" s="27"/>
      <c r="B7" s="27"/>
      <c r="C7" s="27"/>
      <c r="D7" s="27"/>
      <c r="E7" s="27"/>
    </row>
    <row r="8" customFormat="false" ht="19.5" hidden="false" customHeight="true" outlineLevel="0" collapsed="false">
      <c r="A8" s="21" t="s">
        <v>106</v>
      </c>
      <c r="B8" s="21"/>
      <c r="C8" s="21"/>
      <c r="D8" s="21"/>
      <c r="E8" s="21"/>
    </row>
    <row r="9" customFormat="false" ht="18" hidden="false" customHeight="true" outlineLevel="0" collapsed="false">
      <c r="A9" s="22" t="s">
        <v>107</v>
      </c>
      <c r="B9" s="28" t="n">
        <v>0.18</v>
      </c>
      <c r="C9" s="24" t="s">
        <v>108</v>
      </c>
      <c r="D9" s="25" t="s">
        <v>109</v>
      </c>
      <c r="E9" s="25"/>
    </row>
    <row r="10" customFormat="false" ht="18" hidden="false" customHeight="true" outlineLevel="0" collapsed="false">
      <c r="A10" s="22" t="s">
        <v>110</v>
      </c>
      <c r="B10" s="29" t="n">
        <v>400</v>
      </c>
      <c r="C10" s="24" t="s">
        <v>111</v>
      </c>
      <c r="D10" s="25" t="s">
        <v>112</v>
      </c>
      <c r="E10" s="25"/>
    </row>
    <row r="11" customFormat="false" ht="18" hidden="false" customHeight="true" outlineLevel="0" collapsed="false">
      <c r="A11" s="22" t="s">
        <v>113</v>
      </c>
      <c r="B11" s="23" t="n">
        <v>18</v>
      </c>
      <c r="C11" s="24" t="s">
        <v>114</v>
      </c>
      <c r="D11" s="25" t="s">
        <v>115</v>
      </c>
      <c r="E11" s="25"/>
    </row>
    <row r="12" customFormat="false" ht="18" hidden="false" customHeight="true" outlineLevel="0" collapsed="false">
      <c r="A12" s="22" t="s">
        <v>116</v>
      </c>
      <c r="B12" s="29" t="n">
        <v>2000</v>
      </c>
      <c r="C12" s="24" t="s">
        <v>111</v>
      </c>
      <c r="D12" s="25" t="s">
        <v>117</v>
      </c>
      <c r="E12" s="25"/>
    </row>
    <row r="13" customFormat="false" ht="18" hidden="false" customHeight="true" outlineLevel="0" collapsed="false">
      <c r="A13" s="22" t="s">
        <v>118</v>
      </c>
      <c r="B13" s="23" t="n">
        <v>3</v>
      </c>
      <c r="C13" s="24" t="s">
        <v>119</v>
      </c>
      <c r="D13" s="25" t="s">
        <v>120</v>
      </c>
      <c r="E13" s="25"/>
    </row>
    <row r="14" customFormat="false" ht="18" hidden="false" customHeight="true" outlineLevel="0" collapsed="false">
      <c r="A14" s="22" t="s">
        <v>121</v>
      </c>
      <c r="B14" s="30" t="n">
        <v>0.55</v>
      </c>
      <c r="C14" s="24" t="s">
        <v>122</v>
      </c>
      <c r="D14" s="25" t="s">
        <v>123</v>
      </c>
      <c r="E14" s="25"/>
    </row>
    <row r="15" customFormat="false" ht="18" hidden="false" customHeight="true" outlineLevel="0" collapsed="false">
      <c r="A15" s="22" t="s">
        <v>124</v>
      </c>
      <c r="B15" s="30" t="n">
        <v>0.1</v>
      </c>
      <c r="C15" s="24" t="s">
        <v>108</v>
      </c>
      <c r="D15" s="25" t="s">
        <v>125</v>
      </c>
      <c r="E15" s="25"/>
    </row>
    <row r="16" customFormat="false" ht="15" hidden="false" customHeight="false" outlineLevel="0" collapsed="false">
      <c r="A16" s="27"/>
      <c r="B16" s="27"/>
      <c r="C16" s="27"/>
      <c r="D16" s="27"/>
      <c r="E16" s="27"/>
    </row>
    <row r="17" customFormat="false" ht="19.5" hidden="false" customHeight="true" outlineLevel="0" collapsed="false">
      <c r="A17" s="21" t="s">
        <v>126</v>
      </c>
      <c r="B17" s="21"/>
      <c r="C17" s="21"/>
      <c r="D17" s="21"/>
      <c r="E17" s="21"/>
    </row>
    <row r="18" customFormat="false" ht="18" hidden="false" customHeight="true" outlineLevel="0" collapsed="false">
      <c r="A18" s="22" t="s">
        <v>127</v>
      </c>
      <c r="B18" s="29" t="n">
        <v>200</v>
      </c>
      <c r="C18" s="24" t="s">
        <v>128</v>
      </c>
      <c r="D18" s="25" t="s">
        <v>129</v>
      </c>
      <c r="E18" s="25"/>
    </row>
    <row r="19" customFormat="false" ht="18" hidden="false" customHeight="true" outlineLevel="0" collapsed="false">
      <c r="A19" s="22" t="s">
        <v>130</v>
      </c>
      <c r="B19" s="23" t="n">
        <v>17</v>
      </c>
      <c r="C19" s="24" t="s">
        <v>131</v>
      </c>
      <c r="D19" s="25" t="s">
        <v>132</v>
      </c>
      <c r="E19" s="25"/>
    </row>
    <row r="20" customFormat="false" ht="18" hidden="false" customHeight="true" outlineLevel="0" collapsed="false">
      <c r="A20" s="22" t="s">
        <v>133</v>
      </c>
      <c r="B20" s="23" t="n">
        <v>4</v>
      </c>
      <c r="C20" s="24" t="s">
        <v>131</v>
      </c>
      <c r="D20" s="25" t="s">
        <v>134</v>
      </c>
      <c r="E20" s="25"/>
    </row>
    <row r="21" customFormat="false" ht="18" hidden="false" customHeight="true" outlineLevel="0" collapsed="false">
      <c r="A21" s="22" t="s">
        <v>135</v>
      </c>
      <c r="B21" s="23" t="s">
        <v>136</v>
      </c>
      <c r="C21" s="24" t="s">
        <v>137</v>
      </c>
      <c r="D21" s="25" t="s">
        <v>138</v>
      </c>
      <c r="E21" s="25"/>
    </row>
    <row r="22" customFormat="false" ht="18" hidden="false" customHeight="true" outlineLevel="0" collapsed="false">
      <c r="A22" s="22" t="s">
        <v>139</v>
      </c>
      <c r="B22" s="30" t="n">
        <v>0.12</v>
      </c>
      <c r="C22" s="24" t="s">
        <v>140</v>
      </c>
      <c r="D22" s="25" t="s">
        <v>141</v>
      </c>
      <c r="E22" s="25"/>
    </row>
    <row r="25" customFormat="false" ht="21.75" hidden="false" customHeight="true" outlineLevel="0" collapsed="false">
      <c r="A25" s="31" t="s">
        <v>142</v>
      </c>
      <c r="B25" s="31"/>
      <c r="C25" s="31"/>
      <c r="D25" s="31"/>
      <c r="E25" s="31"/>
    </row>
    <row r="26" customFormat="false" ht="19.5" hidden="false" customHeight="true" outlineLevel="0" collapsed="false">
      <c r="A26" s="32" t="s">
        <v>143</v>
      </c>
      <c r="B26" s="32"/>
      <c r="C26" s="32"/>
      <c r="D26" s="32"/>
      <c r="E26" s="32"/>
    </row>
    <row r="27" customFormat="false" ht="19.5" hidden="false" customHeight="true" outlineLevel="0" collapsed="false">
      <c r="A27" s="33" t="s">
        <v>144</v>
      </c>
      <c r="B27" s="33"/>
      <c r="C27" s="33"/>
      <c r="D27" s="33"/>
      <c r="E27" s="33"/>
    </row>
  </sheetData>
  <mergeCells count="23">
    <mergeCell ref="A1:E1"/>
    <mergeCell ref="A2:E2"/>
    <mergeCell ref="D3:E3"/>
    <mergeCell ref="D4:E4"/>
    <mergeCell ref="D5:E5"/>
    <mergeCell ref="D6:E6"/>
    <mergeCell ref="A8:E8"/>
    <mergeCell ref="D9:E9"/>
    <mergeCell ref="D10:E10"/>
    <mergeCell ref="D11:E11"/>
    <mergeCell ref="D12:E12"/>
    <mergeCell ref="D13:E13"/>
    <mergeCell ref="D14:E14"/>
    <mergeCell ref="D15:E15"/>
    <mergeCell ref="A17:E17"/>
    <mergeCell ref="D18:E18"/>
    <mergeCell ref="D19:E19"/>
    <mergeCell ref="D20:E20"/>
    <mergeCell ref="D21:E21"/>
    <mergeCell ref="D22:E22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3746"/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5" min="4" style="1" width="15"/>
    <col collapsed="false" customWidth="true" hidden="false" outlineLevel="0" max="6" min="6" style="1" width="10"/>
  </cols>
  <sheetData>
    <row r="1" customFormat="false" ht="30" hidden="false" customHeight="true" outlineLevel="0" collapsed="false">
      <c r="A1" s="34" t="s">
        <v>145</v>
      </c>
      <c r="B1" s="34"/>
      <c r="C1" s="34"/>
      <c r="D1" s="34"/>
      <c r="E1" s="34"/>
      <c r="F1" s="34"/>
    </row>
    <row r="2" customFormat="false" ht="21.75" hidden="false" customHeight="true" outlineLevel="0" collapsed="false">
      <c r="A2" s="35" t="s">
        <v>146</v>
      </c>
      <c r="B2" s="35"/>
      <c r="C2" s="36" t="s">
        <v>41</v>
      </c>
      <c r="D2" s="37" t="s">
        <v>147</v>
      </c>
      <c r="E2" s="37"/>
      <c r="F2" s="37"/>
    </row>
    <row r="3" customFormat="false" ht="15" hidden="false" customHeight="false" outlineLevel="0" collapsed="false">
      <c r="A3" s="27"/>
      <c r="B3" s="27"/>
      <c r="C3" s="27"/>
      <c r="D3" s="27"/>
      <c r="E3" s="27"/>
      <c r="F3" s="27"/>
    </row>
    <row r="4" customFormat="false" ht="15" hidden="false" customHeight="true" outlineLevel="0" collapsed="false">
      <c r="A4" s="21" t="s">
        <v>148</v>
      </c>
      <c r="B4" s="21"/>
      <c r="C4" s="21"/>
      <c r="D4" s="21"/>
      <c r="E4" s="21"/>
      <c r="F4" s="21"/>
    </row>
    <row r="5" customFormat="false" ht="18" hidden="false" customHeight="true" outlineLevel="0" collapsed="false">
      <c r="A5" s="38" t="s">
        <v>93</v>
      </c>
      <c r="B5" s="38"/>
      <c r="C5" s="39" t="str">
        <f aca="false">Assumptions!B3</f>
        <v>Program Officer</v>
      </c>
      <c r="D5" s="27"/>
      <c r="E5" s="27"/>
      <c r="F5" s="27"/>
    </row>
    <row r="6" customFormat="false" ht="18" hidden="false" customHeight="true" outlineLevel="0" collapsed="false">
      <c r="A6" s="38" t="s">
        <v>149</v>
      </c>
      <c r="B6" s="38"/>
      <c r="C6" s="39" t="str">
        <f aca="false">Assumptions!B4</f>
        <v>Mid-Level (3-7 yrs)</v>
      </c>
      <c r="D6" s="27"/>
      <c r="E6" s="27"/>
      <c r="F6" s="27"/>
    </row>
    <row r="7" customFormat="false" ht="18" hidden="false" customHeight="true" outlineLevel="0" collapsed="false">
      <c r="A7" s="38" t="s">
        <v>100</v>
      </c>
      <c r="B7" s="38"/>
      <c r="C7" s="40" t="n">
        <f aca="false">Assumptions!B5</f>
        <v>45000</v>
      </c>
      <c r="D7" s="27"/>
      <c r="E7" s="27"/>
      <c r="F7" s="27"/>
    </row>
    <row r="8" customFormat="false" ht="18" hidden="false" customHeight="true" outlineLevel="0" collapsed="false">
      <c r="A8" s="38" t="s">
        <v>103</v>
      </c>
      <c r="B8" s="38"/>
      <c r="C8" s="39" t="str">
        <f aca="false">Assumptions!B6</f>
        <v>Permanent</v>
      </c>
      <c r="D8" s="27"/>
      <c r="E8" s="27"/>
      <c r="F8" s="27"/>
    </row>
    <row r="9" customFormat="false" ht="18" hidden="false" customHeight="true" outlineLevel="0" collapsed="false">
      <c r="A9" s="38" t="s">
        <v>150</v>
      </c>
      <c r="B9" s="38"/>
      <c r="C9" s="39" t="str">
        <f aca="false">C2</f>
        <v>Canada</v>
      </c>
      <c r="D9" s="27"/>
      <c r="E9" s="27"/>
      <c r="F9" s="27"/>
    </row>
    <row r="10" customFormat="false" ht="18" hidden="false" customHeight="true" outlineLevel="0" collapsed="false">
      <c r="A10" s="38" t="s">
        <v>151</v>
      </c>
      <c r="B10" s="38"/>
      <c r="C10" s="39" t="str">
        <f aca="false">IFERROR(VLOOKUP(C2,'Country Data'!$A$3:$N$13,3,0),"-")</f>
        <v>Americas (HQ)</v>
      </c>
      <c r="D10" s="27"/>
      <c r="E10" s="27"/>
      <c r="F10" s="27"/>
    </row>
    <row r="11" customFormat="false" ht="18" hidden="false" customHeight="true" outlineLevel="0" collapsed="false">
      <c r="A11" s="38" t="s">
        <v>152</v>
      </c>
      <c r="B11" s="38"/>
      <c r="C11" s="39" t="str">
        <f aca="false">IFERROR(VLOOKUP(C2,'Country Data'!$A$3:$N$13,4,0),"-")</f>
        <v>Ottawa</v>
      </c>
      <c r="D11" s="27"/>
      <c r="E11" s="27"/>
      <c r="F11" s="27"/>
    </row>
    <row r="12" customFormat="false" ht="18" hidden="false" customHeight="true" outlineLevel="0" collapsed="false">
      <c r="A12" s="38" t="s">
        <v>153</v>
      </c>
      <c r="B12" s="38"/>
      <c r="C12" s="39" t="str">
        <f aca="false">IFERROR(VLOOKUP(C2,'Country Data'!$A$3:$N$13,5,0),"-")</f>
        <v>CAD</v>
      </c>
      <c r="D12" s="27"/>
      <c r="E12" s="27"/>
      <c r="F12" s="27"/>
    </row>
    <row r="13" customFormat="false" ht="18" hidden="false" customHeight="true" outlineLevel="0" collapsed="false">
      <c r="A13" s="38" t="s">
        <v>154</v>
      </c>
      <c r="B13" s="38"/>
      <c r="C13" s="41" t="n">
        <f aca="false">IFERROR(VLOOKUP(C2,'Country Data'!$A$3:$N$13,6,0),"-")</f>
        <v>1.4</v>
      </c>
      <c r="D13" s="27"/>
      <c r="E13" s="27"/>
      <c r="F13" s="27"/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</row>
    <row r="15" customFormat="false" ht="19.5" hidden="false" customHeight="true" outlineLevel="0" collapsed="false">
      <c r="A15" s="42" t="s">
        <v>155</v>
      </c>
      <c r="B15" s="42"/>
      <c r="C15" s="42"/>
      <c r="D15" s="42"/>
      <c r="E15" s="42"/>
      <c r="F15" s="42"/>
    </row>
    <row r="16" customFormat="false" ht="18" hidden="false" customHeight="true" outlineLevel="0" collapsed="false">
      <c r="A16" s="38" t="s">
        <v>156</v>
      </c>
      <c r="B16" s="38"/>
      <c r="C16" s="40" t="n">
        <f aca="false">Assumptions!B5</f>
        <v>45000</v>
      </c>
      <c r="D16" s="27"/>
      <c r="E16" s="27"/>
      <c r="F16" s="27"/>
    </row>
    <row r="17" customFormat="false" ht="18" hidden="false" customHeight="true" outlineLevel="0" collapsed="false">
      <c r="A17" s="38" t="s">
        <v>157</v>
      </c>
      <c r="B17" s="38"/>
      <c r="C17" s="43" t="n">
        <f aca="false">IFERROR(VLOOKUP(C2,'Country Data'!$A$3:$N$13,10,0),0)</f>
        <v>8.27</v>
      </c>
      <c r="D17" s="27"/>
      <c r="E17" s="27"/>
      <c r="F17" s="27"/>
    </row>
    <row r="18" customFormat="false" ht="18" hidden="false" customHeight="true" outlineLevel="0" collapsed="false">
      <c r="A18" s="38" t="s">
        <v>158</v>
      </c>
      <c r="B18" s="38"/>
      <c r="C18" s="44" t="n">
        <f aca="false">C16*C17</f>
        <v>372150</v>
      </c>
      <c r="D18" s="27"/>
      <c r="E18" s="27"/>
      <c r="F18" s="27"/>
    </row>
    <row r="19" customFormat="false" ht="18" hidden="false" customHeight="true" outlineLevel="0" collapsed="false">
      <c r="A19" s="38" t="s">
        <v>159</v>
      </c>
      <c r="B19" s="38"/>
      <c r="C19" s="43" t="n">
        <f aca="false">IFERROR(VLOOKUP(C2,'Country Data'!$A$3:$N$13,11,0),0)</f>
        <v>7</v>
      </c>
      <c r="D19" s="27"/>
      <c r="E19" s="27"/>
      <c r="F19" s="27"/>
    </row>
    <row r="20" customFormat="false" ht="18" hidden="false" customHeight="true" outlineLevel="0" collapsed="false">
      <c r="A20" s="38" t="s">
        <v>160</v>
      </c>
      <c r="B20" s="38"/>
      <c r="C20" s="44" t="n">
        <f aca="false">C16*C19</f>
        <v>315000</v>
      </c>
      <c r="D20" s="27"/>
      <c r="E20" s="27"/>
      <c r="F20" s="27"/>
    </row>
    <row r="21" customFormat="false" ht="18" hidden="false" customHeight="true" outlineLevel="0" collapsed="false">
      <c r="A21" s="38" t="s">
        <v>161</v>
      </c>
      <c r="B21" s="38"/>
      <c r="C21" s="45" t="n">
        <f aca="false">(C18+C20)/C16</f>
        <v>15.27</v>
      </c>
      <c r="D21" s="27"/>
      <c r="E21" s="27"/>
      <c r="F21" s="27"/>
    </row>
    <row r="22" customFormat="false" ht="21.75" hidden="false" customHeight="true" outlineLevel="0" collapsed="false">
      <c r="A22" s="46" t="s">
        <v>162</v>
      </c>
      <c r="B22" s="46"/>
      <c r="C22" s="47" t="n">
        <f aca="false">C16+C18+C20</f>
        <v>732150</v>
      </c>
      <c r="D22" s="48"/>
      <c r="E22" s="48"/>
      <c r="F22" s="48"/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</row>
    <row r="24" customFormat="false" ht="19.5" hidden="false" customHeight="true" outlineLevel="0" collapsed="false">
      <c r="A24" s="21" t="s">
        <v>163</v>
      </c>
      <c r="B24" s="21"/>
      <c r="C24" s="21"/>
      <c r="D24" s="21"/>
      <c r="E24" s="21"/>
      <c r="F24" s="21"/>
    </row>
    <row r="25" customFormat="false" ht="18" hidden="false" customHeight="true" outlineLevel="0" collapsed="false">
      <c r="A25" s="38" t="s">
        <v>164</v>
      </c>
      <c r="B25" s="38"/>
      <c r="C25" s="45" t="n">
        <f aca="false">IFERROR(VLOOKUP(C2,'Country Data'!$A$3:$N$13,7,0),0)</f>
        <v>5.95</v>
      </c>
      <c r="D25" s="27"/>
      <c r="E25" s="27"/>
      <c r="F25" s="27"/>
    </row>
    <row r="26" customFormat="false" ht="18" hidden="false" customHeight="true" outlineLevel="0" collapsed="false">
      <c r="A26" s="38" t="s">
        <v>165</v>
      </c>
      <c r="B26" s="38"/>
      <c r="C26" s="40" t="n">
        <f aca="false">C16*C25</f>
        <v>267750</v>
      </c>
      <c r="D26" s="27"/>
      <c r="E26" s="27"/>
      <c r="F26" s="27"/>
    </row>
    <row r="27" customFormat="false" ht="18" hidden="false" customHeight="true" outlineLevel="0" collapsed="false">
      <c r="A27" s="38" t="s">
        <v>166</v>
      </c>
      <c r="B27" s="38"/>
      <c r="C27" s="45" t="n">
        <f aca="false">IFERROR(VLOOKUP(C2,'Country Data'!$A$3:$N$13,8,0),0)</f>
        <v>2.32</v>
      </c>
      <c r="D27" s="27"/>
      <c r="E27" s="27"/>
      <c r="F27" s="27"/>
    </row>
    <row r="28" customFormat="false" ht="18" hidden="false" customHeight="true" outlineLevel="0" collapsed="false">
      <c r="A28" s="38" t="s">
        <v>167</v>
      </c>
      <c r="B28" s="38"/>
      <c r="C28" s="40" t="n">
        <f aca="false">C16*C27</f>
        <v>104400</v>
      </c>
      <c r="D28" s="27"/>
      <c r="E28" s="27"/>
      <c r="F28" s="27"/>
    </row>
    <row r="29" customFormat="false" ht="18" hidden="false" customHeight="true" outlineLevel="0" collapsed="false">
      <c r="A29" s="38" t="s">
        <v>168</v>
      </c>
      <c r="B29" s="38"/>
      <c r="C29" s="45" t="n">
        <f aca="false">IFERROR(VLOOKUP(C2,'Country Data'!$A$3:$N$13,9,0),0)</f>
        <v>0</v>
      </c>
      <c r="D29" s="27"/>
      <c r="E29" s="27"/>
      <c r="F29" s="27"/>
    </row>
    <row r="30" customFormat="false" ht="18" hidden="false" customHeight="true" outlineLevel="0" collapsed="false">
      <c r="A30" s="38" t="s">
        <v>169</v>
      </c>
      <c r="B30" s="38"/>
      <c r="C30" s="40" t="n">
        <f aca="false">C16*C29</f>
        <v>0</v>
      </c>
      <c r="D30" s="27"/>
      <c r="E30" s="27"/>
      <c r="F30" s="27"/>
    </row>
    <row r="31" customFormat="false" ht="18" hidden="false" customHeight="true" outlineLevel="0" collapsed="false">
      <c r="A31" s="38" t="s">
        <v>170</v>
      </c>
      <c r="B31" s="38"/>
      <c r="C31" s="40" t="n">
        <f aca="false">C20</f>
        <v>315000</v>
      </c>
      <c r="D31" s="27"/>
      <c r="E31" s="27"/>
      <c r="F31" s="27"/>
    </row>
    <row r="32" customFormat="false" ht="18" hidden="false" customHeight="true" outlineLevel="0" collapsed="false">
      <c r="A32" s="38" t="s">
        <v>171</v>
      </c>
      <c r="B32" s="38"/>
      <c r="C32" s="45" t="n">
        <f aca="false">IFERROR(VLOOKUP(C2,'Country Data'!$A$3:$N$13,12,0),0)</f>
        <v>55</v>
      </c>
      <c r="D32" s="27"/>
      <c r="E32" s="27"/>
      <c r="F32" s="27"/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</row>
    <row r="34" customFormat="false" ht="18" hidden="false" customHeight="true" outlineLevel="0" collapsed="false">
      <c r="A34" s="42" t="s">
        <v>172</v>
      </c>
      <c r="B34" s="42"/>
      <c r="C34" s="42"/>
      <c r="D34" s="42"/>
      <c r="E34" s="42"/>
      <c r="F34" s="42"/>
    </row>
    <row r="35" customFormat="false" ht="18" hidden="false" customHeight="true" outlineLevel="0" collapsed="false">
      <c r="A35" s="38" t="s">
        <v>173</v>
      </c>
      <c r="B35" s="38"/>
      <c r="C35" s="49" t="n">
        <f aca="false">IFERROR(C22*VLOOKUP(C2,'Country Data'!$A$3:$N$13,6,0),"-")</f>
        <v>1025010</v>
      </c>
      <c r="D35" s="27"/>
      <c r="E35" s="27"/>
      <c r="F35" s="27"/>
    </row>
    <row r="36" customFormat="false" ht="18" hidden="false" customHeight="true" outlineLevel="0" collapsed="false">
      <c r="A36" s="38" t="s">
        <v>174</v>
      </c>
      <c r="B36" s="38"/>
      <c r="C36" s="49" t="n">
        <f aca="false">IFERROR(C35/12,"-")</f>
        <v>85417.5</v>
      </c>
      <c r="D36" s="27"/>
      <c r="E36" s="27"/>
      <c r="F36" s="27"/>
    </row>
  </sheetData>
  <mergeCells count="33">
    <mergeCell ref="A1:F1"/>
    <mergeCell ref="A2:B2"/>
    <mergeCell ref="D2:F2"/>
    <mergeCell ref="A4:F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5:F15"/>
    <mergeCell ref="A16:B16"/>
    <mergeCell ref="A17:B17"/>
    <mergeCell ref="A18:B18"/>
    <mergeCell ref="A19:B19"/>
    <mergeCell ref="A20:B20"/>
    <mergeCell ref="A21:B21"/>
    <mergeCell ref="A22:B22"/>
    <mergeCell ref="A24:F24"/>
    <mergeCell ref="A25:B25"/>
    <mergeCell ref="A26:B26"/>
    <mergeCell ref="A27:B27"/>
    <mergeCell ref="A28:B28"/>
    <mergeCell ref="A29:B29"/>
    <mergeCell ref="A30:B30"/>
    <mergeCell ref="A31:B31"/>
    <mergeCell ref="A32:B32"/>
    <mergeCell ref="A34:F34"/>
    <mergeCell ref="A35:B35"/>
    <mergeCell ref="A36:B36"/>
  </mergeCells>
  <dataValidations count="1">
    <dataValidation allowBlank="false" errorStyle="stop" operator="between" showDropDown="false" showErrorMessage="false" showInputMessage="false" sqref="C2" type="list">
      <formula1>"Canada,Kenya,Ethiopia,Nigeria,Senegal,Tanzania,India,Bangladesh,Indonesia,Pakistan,Philippines"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4343A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6" min="5" style="1" width="10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30" hidden="false" customHeight="true" outlineLevel="0" collapsed="false">
      <c r="A1" s="50" t="s">
        <v>175</v>
      </c>
      <c r="B1" s="50"/>
      <c r="C1" s="50"/>
      <c r="D1" s="50"/>
      <c r="E1" s="50"/>
      <c r="F1" s="50"/>
      <c r="G1" s="27"/>
      <c r="H1" s="27"/>
      <c r="I1" s="27"/>
    </row>
    <row r="2" customFormat="false" ht="15" hidden="false" customHeight="true" outlineLevel="0" collapsed="false">
      <c r="A2" s="51" t="s">
        <v>146</v>
      </c>
      <c r="B2" s="51"/>
      <c r="C2" s="36" t="s">
        <v>41</v>
      </c>
      <c r="D2" s="52" t="s">
        <v>176</v>
      </c>
      <c r="E2" s="52"/>
      <c r="F2" s="52"/>
      <c r="G2" s="27"/>
      <c r="H2" s="53" t="s">
        <v>27</v>
      </c>
      <c r="I2" s="53" t="s">
        <v>177</v>
      </c>
    </row>
    <row r="3" customFormat="false" ht="15" hidden="false" customHeight="true" outlineLevel="0" collapsed="false">
      <c r="A3" s="27"/>
      <c r="B3" s="27"/>
      <c r="C3" s="27"/>
      <c r="D3" s="27"/>
      <c r="E3" s="27"/>
      <c r="F3" s="27"/>
      <c r="G3" s="27"/>
      <c r="H3" s="54" t="s">
        <v>41</v>
      </c>
      <c r="I3" s="55" t="n">
        <v>220</v>
      </c>
    </row>
    <row r="4" customFormat="false" ht="19.5" hidden="false" customHeight="true" outlineLevel="0" collapsed="false">
      <c r="A4" s="56" t="s">
        <v>178</v>
      </c>
      <c r="B4" s="56"/>
      <c r="C4" s="56"/>
      <c r="D4" s="56"/>
      <c r="E4" s="56"/>
      <c r="F4" s="56"/>
      <c r="G4" s="27"/>
      <c r="H4" s="54" t="s">
        <v>46</v>
      </c>
      <c r="I4" s="55" t="n">
        <v>70</v>
      </c>
    </row>
    <row r="5" customFormat="false" ht="18" hidden="false" customHeight="true" outlineLevel="0" collapsed="false">
      <c r="A5" s="57" t="s">
        <v>179</v>
      </c>
      <c r="B5" s="57"/>
      <c r="C5" s="40" t="n">
        <f aca="false">Assumptions!B5</f>
        <v>45000</v>
      </c>
      <c r="D5" s="27"/>
      <c r="E5" s="27"/>
      <c r="F5" s="27"/>
      <c r="G5" s="27"/>
      <c r="H5" s="54" t="s">
        <v>51</v>
      </c>
      <c r="I5" s="55" t="n">
        <v>55</v>
      </c>
    </row>
    <row r="6" customFormat="false" ht="18" hidden="false" customHeight="true" outlineLevel="0" collapsed="false">
      <c r="A6" s="57" t="s">
        <v>180</v>
      </c>
      <c r="B6" s="57"/>
      <c r="C6" s="44" t="n">
        <f aca="false">Assumptions!B5/260</f>
        <v>173.076923076923</v>
      </c>
      <c r="D6" s="27"/>
      <c r="E6" s="27"/>
      <c r="F6" s="27"/>
      <c r="G6" s="27"/>
      <c r="H6" s="54" t="s">
        <v>55</v>
      </c>
      <c r="I6" s="55" t="n">
        <v>65</v>
      </c>
    </row>
    <row r="7" customFormat="false" ht="15" hidden="false" customHeight="true" outlineLevel="0" collapsed="false">
      <c r="A7" s="27"/>
      <c r="B7" s="27"/>
      <c r="C7" s="27"/>
      <c r="D7" s="27"/>
      <c r="E7" s="27"/>
      <c r="F7" s="27"/>
      <c r="G7" s="27"/>
      <c r="H7" s="54" t="s">
        <v>59</v>
      </c>
      <c r="I7" s="55" t="n">
        <v>65</v>
      </c>
    </row>
    <row r="8" customFormat="false" ht="18" hidden="false" customHeight="true" outlineLevel="0" collapsed="false">
      <c r="A8" s="38" t="s">
        <v>181</v>
      </c>
      <c r="B8" s="38"/>
      <c r="C8" s="40" t="n">
        <f aca="false">Assumptions!B5*Assumptions!B9</f>
        <v>8100</v>
      </c>
      <c r="D8" s="27"/>
      <c r="E8" s="27"/>
      <c r="F8" s="27"/>
      <c r="G8" s="27"/>
      <c r="H8" s="54" t="s">
        <v>64</v>
      </c>
      <c r="I8" s="55" t="n">
        <v>65</v>
      </c>
    </row>
    <row r="9" customFormat="false" ht="18" hidden="false" customHeight="true" outlineLevel="0" collapsed="false">
      <c r="A9" s="38" t="s">
        <v>182</v>
      </c>
      <c r="B9" s="38"/>
      <c r="C9" s="40" t="n">
        <f aca="false">Assumptions!B10</f>
        <v>400</v>
      </c>
      <c r="D9" s="27"/>
      <c r="E9" s="27"/>
      <c r="F9" s="27"/>
      <c r="G9" s="27"/>
      <c r="H9" s="54" t="s">
        <v>68</v>
      </c>
      <c r="I9" s="55" t="n">
        <v>90</v>
      </c>
    </row>
    <row r="10" customFormat="false" ht="18" hidden="false" customHeight="true" outlineLevel="0" collapsed="false">
      <c r="A10" s="38" t="s">
        <v>183</v>
      </c>
      <c r="B10" s="38"/>
      <c r="C10" s="40" t="n">
        <f aca="false">(Assumptions!B5/260)*Assumptions!B11/8</f>
        <v>389.423076923077</v>
      </c>
      <c r="D10" s="27"/>
      <c r="E10" s="27"/>
      <c r="F10" s="27"/>
      <c r="G10" s="27"/>
      <c r="H10" s="54" t="s">
        <v>73</v>
      </c>
      <c r="I10" s="55" t="n">
        <v>70</v>
      </c>
    </row>
    <row r="11" customFormat="false" ht="18" hidden="false" customHeight="true" outlineLevel="0" collapsed="false">
      <c r="A11" s="38" t="s">
        <v>184</v>
      </c>
      <c r="B11" s="38"/>
      <c r="C11" s="44" t="n">
        <f aca="false">IFERROR(VLOOKUP(C2,$H$3:$I$13,2,0),100)</f>
        <v>220</v>
      </c>
      <c r="D11" s="27"/>
      <c r="E11" s="27"/>
      <c r="F11" s="27"/>
      <c r="G11" s="27"/>
      <c r="H11" s="54" t="s">
        <v>78</v>
      </c>
      <c r="I11" s="55" t="n">
        <v>80</v>
      </c>
    </row>
    <row r="12" customFormat="false" ht="18" hidden="false" customHeight="true" outlineLevel="0" collapsed="false">
      <c r="A12" s="38" t="s">
        <v>185</v>
      </c>
      <c r="B12" s="38"/>
      <c r="C12" s="40" t="n">
        <f aca="false">Assumptions!B12</f>
        <v>2000</v>
      </c>
      <c r="D12" s="27"/>
      <c r="E12" s="27"/>
      <c r="F12" s="27"/>
      <c r="G12" s="27"/>
      <c r="H12" s="54" t="s">
        <v>82</v>
      </c>
      <c r="I12" s="55" t="n">
        <v>70</v>
      </c>
    </row>
    <row r="13" customFormat="false" ht="18" hidden="false" customHeight="true" outlineLevel="0" collapsed="false">
      <c r="A13" s="38" t="s">
        <v>186</v>
      </c>
      <c r="B13" s="38"/>
      <c r="C13" s="40" t="n">
        <f aca="false">Assumptions!B5*(Assumptions!B13/12)*(1-Assumptions!B14)</f>
        <v>5062.5</v>
      </c>
      <c r="D13" s="27"/>
      <c r="E13" s="27"/>
      <c r="F13" s="27"/>
      <c r="G13" s="27"/>
      <c r="H13" s="54" t="s">
        <v>86</v>
      </c>
      <c r="I13" s="55" t="n">
        <v>80</v>
      </c>
    </row>
    <row r="14" customFormat="false" ht="18" hidden="false" customHeight="true" outlineLevel="0" collapsed="false">
      <c r="A14" s="38" t="s">
        <v>187</v>
      </c>
      <c r="B14" s="38"/>
      <c r="C14" s="40" t="n">
        <f aca="false">Assumptions!B5*Assumptions!B15</f>
        <v>4500</v>
      </c>
      <c r="D14" s="27"/>
      <c r="E14" s="27"/>
      <c r="F14" s="27"/>
      <c r="G14" s="27"/>
      <c r="H14" s="27"/>
      <c r="I14" s="27"/>
    </row>
    <row r="15" customFormat="false" ht="21.75" hidden="false" customHeight="true" outlineLevel="0" collapsed="false">
      <c r="A15" s="58" t="s">
        <v>188</v>
      </c>
      <c r="B15" s="58"/>
      <c r="C15" s="59" t="n">
        <f aca="false">C8+C9+C10+C11+C12+C13+C14</f>
        <v>20671.9230769231</v>
      </c>
      <c r="D15" s="60"/>
      <c r="E15" s="60"/>
      <c r="F15" s="60"/>
      <c r="G15" s="27"/>
      <c r="H15" s="27"/>
      <c r="I15" s="27"/>
    </row>
    <row r="16" customFormat="false" ht="18" hidden="false" customHeight="true" outlineLevel="0" collapsed="false">
      <c r="A16" s="38" t="s">
        <v>189</v>
      </c>
      <c r="B16" s="38"/>
      <c r="C16" s="45" t="n">
        <f aca="false">IFERROR(C15/C5,0)</f>
        <v>0.459376068376068</v>
      </c>
      <c r="D16" s="27"/>
      <c r="E16" s="27"/>
      <c r="F16" s="27"/>
      <c r="G16" s="27"/>
      <c r="H16" s="27"/>
      <c r="I16" s="27"/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  <c r="I17" s="27"/>
    </row>
    <row r="18" customFormat="false" ht="19.5" hidden="false" customHeight="true" outlineLevel="0" collapsed="false">
      <c r="A18" s="42" t="s">
        <v>190</v>
      </c>
      <c r="B18" s="42"/>
      <c r="C18" s="42"/>
      <c r="D18" s="42"/>
      <c r="E18" s="42"/>
      <c r="F18" s="42"/>
      <c r="G18" s="27"/>
      <c r="H18" s="27"/>
      <c r="I18" s="27"/>
    </row>
    <row r="19" customFormat="false" ht="18" hidden="false" customHeight="true" outlineLevel="0" collapsed="false">
      <c r="A19" s="38" t="s">
        <v>191</v>
      </c>
      <c r="B19" s="38"/>
      <c r="C19" s="61" t="s">
        <v>192</v>
      </c>
      <c r="D19" s="27"/>
      <c r="E19" s="27"/>
      <c r="F19" s="27"/>
      <c r="G19" s="27"/>
      <c r="H19" s="27"/>
      <c r="I19" s="27"/>
    </row>
    <row r="20" customFormat="false" ht="18" hidden="false" customHeight="true" outlineLevel="0" collapsed="false">
      <c r="A20" s="38" t="s">
        <v>193</v>
      </c>
      <c r="B20" s="38"/>
      <c r="C20" s="62" t="str">
        <f aca="false">IFERROR(VLOOKUP(C2,'Country Data'!$A$3:$N$13,0,0),30)&amp;" days statutory"</f>
        <v>30 days statutory</v>
      </c>
      <c r="D20" s="27"/>
      <c r="E20" s="27"/>
      <c r="F20" s="27"/>
      <c r="G20" s="27"/>
      <c r="H20" s="27"/>
      <c r="I20" s="27"/>
    </row>
    <row r="21" customFormat="false" ht="18" hidden="false" customHeight="true" outlineLevel="0" collapsed="false">
      <c r="A21" s="38" t="s">
        <v>194</v>
      </c>
      <c r="B21" s="38"/>
      <c r="C21" s="62" t="str">
        <f aca="false">ROUND(Assumptions!B13*4.33,0)&amp;" weeks"</f>
        <v>13 weeks</v>
      </c>
      <c r="D21" s="27"/>
      <c r="E21" s="27"/>
      <c r="F21" s="27"/>
      <c r="G21" s="27"/>
      <c r="H21" s="27"/>
      <c r="I21" s="27"/>
    </row>
    <row r="22" customFormat="false" ht="18" hidden="false" customHeight="true" outlineLevel="0" collapsed="false">
      <c r="A22" s="57" t="s">
        <v>195</v>
      </c>
      <c r="B22" s="57"/>
      <c r="C22" s="62" t="str">
        <f aca="false">ROUND(8 + 8 + Assumptions!B13*4.33, 0)&amp;" weeks (est.)"</f>
        <v>29 weeks (est.)</v>
      </c>
      <c r="D22" s="27"/>
      <c r="E22" s="27"/>
      <c r="F22" s="27"/>
      <c r="G22" s="27"/>
      <c r="H22" s="27"/>
      <c r="I22" s="27"/>
    </row>
  </sheetData>
  <mergeCells count="20">
    <mergeCell ref="A1:F1"/>
    <mergeCell ref="A2:B2"/>
    <mergeCell ref="D2:F2"/>
    <mergeCell ref="A4:F4"/>
    <mergeCell ref="A5:B5"/>
    <mergeCell ref="A6:B6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8:F18"/>
    <mergeCell ref="A19:B19"/>
    <mergeCell ref="A20:B20"/>
    <mergeCell ref="A21:B21"/>
    <mergeCell ref="A22:B22"/>
  </mergeCells>
  <dataValidations count="1">
    <dataValidation allowBlank="false" errorStyle="stop" operator="between" showDropDown="false" showErrorMessage="false" showInputMessage="false" sqref="C2" type="list">
      <formula1>"Canada,Kenya,Ethiopia,Nigeria,Senegal,Tanzania,India,Bangladesh,Indonesia,Pakistan,Philippines"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844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6" min="5" style="1" width="10"/>
  </cols>
  <sheetData>
    <row r="1" customFormat="false" ht="30" hidden="false" customHeight="true" outlineLevel="0" collapsed="false">
      <c r="A1" s="63" t="s">
        <v>196</v>
      </c>
      <c r="B1" s="63"/>
      <c r="C1" s="63"/>
      <c r="D1" s="63"/>
      <c r="E1" s="63"/>
      <c r="F1" s="63"/>
    </row>
    <row r="2" customFormat="false" ht="19.5" hidden="false" customHeight="true" outlineLevel="0" collapsed="false">
      <c r="A2" s="64" t="s">
        <v>146</v>
      </c>
      <c r="B2" s="64"/>
      <c r="C2" s="36" t="s">
        <v>41</v>
      </c>
      <c r="D2" s="27"/>
      <c r="E2" s="27"/>
      <c r="F2" s="27"/>
    </row>
    <row r="3" customFormat="false" ht="19.5" hidden="false" customHeight="true" outlineLevel="0" collapsed="false">
      <c r="A3" s="64" t="s">
        <v>197</v>
      </c>
      <c r="B3" s="64"/>
      <c r="C3" s="65" t="s">
        <v>198</v>
      </c>
      <c r="D3" s="27"/>
      <c r="E3" s="27"/>
      <c r="F3" s="27"/>
    </row>
    <row r="4" customFormat="false" ht="19.5" hidden="false" customHeight="true" outlineLevel="0" collapsed="false">
      <c r="A4" s="64" t="s">
        <v>199</v>
      </c>
      <c r="B4" s="64"/>
      <c r="C4" s="66" t="n">
        <v>17</v>
      </c>
      <c r="D4" s="27"/>
      <c r="E4" s="27"/>
      <c r="F4" s="27"/>
    </row>
    <row r="5" customFormat="false" ht="19.5" hidden="false" customHeight="true" outlineLevel="0" collapsed="false">
      <c r="A5" s="64" t="s">
        <v>200</v>
      </c>
      <c r="B5" s="64"/>
      <c r="C5" s="67" t="s">
        <v>201</v>
      </c>
      <c r="D5" s="27"/>
      <c r="E5" s="27"/>
      <c r="F5" s="27"/>
    </row>
    <row r="6" customFormat="false" ht="15" hidden="false" customHeight="false" outlineLevel="0" collapsed="false">
      <c r="A6" s="27"/>
      <c r="B6" s="27"/>
      <c r="C6" s="27"/>
      <c r="D6" s="27"/>
      <c r="E6" s="27"/>
      <c r="F6" s="27"/>
    </row>
    <row r="7" customFormat="false" ht="19.5" hidden="false" customHeight="true" outlineLevel="0" collapsed="false">
      <c r="A7" s="21" t="s">
        <v>202</v>
      </c>
      <c r="B7" s="21"/>
      <c r="C7" s="21"/>
      <c r="D7" s="21"/>
      <c r="E7" s="21"/>
      <c r="F7" s="21"/>
    </row>
    <row r="8" customFormat="false" ht="18" hidden="false" customHeight="true" outlineLevel="0" collapsed="false">
      <c r="A8" s="57" t="s">
        <v>203</v>
      </c>
      <c r="B8" s="57"/>
      <c r="C8" s="40" t="n">
        <f aca="false">Assumptions!B5</f>
        <v>45000</v>
      </c>
      <c r="D8" s="27"/>
      <c r="E8" s="27"/>
      <c r="F8" s="27"/>
    </row>
    <row r="9" customFormat="false" ht="18" hidden="false" customHeight="true" outlineLevel="0" collapsed="false">
      <c r="A9" s="57" t="s">
        <v>204</v>
      </c>
      <c r="B9" s="57"/>
      <c r="C9" s="44" t="n">
        <f aca="false">Assumptions!B5/52</f>
        <v>865.384615384615</v>
      </c>
      <c r="D9" s="27"/>
      <c r="E9" s="27"/>
      <c r="F9" s="27"/>
    </row>
    <row r="10" customFormat="false" ht="18" hidden="false" customHeight="true" outlineLevel="0" collapsed="false">
      <c r="A10" s="38" t="s">
        <v>205</v>
      </c>
      <c r="B10" s="38"/>
      <c r="C10" s="40" t="n">
        <f aca="false">(Assumptions!B5/52)*C4</f>
        <v>14711.5384615385</v>
      </c>
      <c r="D10" s="27"/>
      <c r="E10" s="27"/>
      <c r="F10" s="27"/>
    </row>
    <row r="11" customFormat="false" ht="18" hidden="false" customHeight="true" outlineLevel="0" collapsed="false">
      <c r="A11" s="38" t="s">
        <v>206</v>
      </c>
      <c r="B11" s="38"/>
      <c r="C11" s="44" t="n">
        <f aca="false">-IFERROR((Assumptions!B5/52)*C4*VLOOKUP(C2,'Country Data'!$A$3:$N$13,12,0)/100,0)</f>
        <v>-8091.34615384615</v>
      </c>
      <c r="D11" s="27"/>
      <c r="E11" s="27"/>
      <c r="F11" s="27"/>
    </row>
    <row r="12" customFormat="false" ht="18" hidden="false" customHeight="true" outlineLevel="0" collapsed="false">
      <c r="A12" s="38" t="s">
        <v>207</v>
      </c>
      <c r="B12" s="38"/>
      <c r="C12" s="44" t="n">
        <f aca="false">C10+C11</f>
        <v>6620.19230769231</v>
      </c>
      <c r="D12" s="27"/>
      <c r="E12" s="27"/>
      <c r="F12" s="27"/>
    </row>
    <row r="13" customFormat="false" ht="18" hidden="false" customHeight="true" outlineLevel="0" collapsed="false">
      <c r="A13" s="38" t="s">
        <v>208</v>
      </c>
      <c r="B13" s="38"/>
      <c r="C13" s="44" t="n">
        <f aca="false">IFERROR(C12*VLOOKUP(C2,'Country Data'!$A$3:$N$13,10,0)/100,0)</f>
        <v>547.489903846154</v>
      </c>
      <c r="D13" s="27"/>
      <c r="E13" s="27"/>
      <c r="F13" s="27"/>
    </row>
    <row r="14" customFormat="false" ht="18" hidden="false" customHeight="true" outlineLevel="0" collapsed="false">
      <c r="A14" s="38" t="s">
        <v>209</v>
      </c>
      <c r="B14" s="38"/>
      <c r="C14" s="44" t="n">
        <f aca="false">IF(C5="Full backfill (hire temp)",Assumptions!B18*C4*5,IF(C5="Partial redistribution (40%)",Assumptions!B18*C4*5*0.4,0))</f>
        <v>17000</v>
      </c>
      <c r="D14" s="27"/>
      <c r="E14" s="27"/>
      <c r="F14" s="27"/>
    </row>
    <row r="15" customFormat="false" ht="18" hidden="false" customHeight="true" outlineLevel="0" collapsed="false">
      <c r="A15" s="38" t="s">
        <v>210</v>
      </c>
      <c r="B15" s="38"/>
      <c r="C15" s="44" t="n">
        <f aca="false">(Assumptions!B5/52)*C4*Assumptions!B22</f>
        <v>1765.38461538462</v>
      </c>
      <c r="D15" s="27"/>
      <c r="E15" s="27"/>
      <c r="F15" s="27"/>
    </row>
    <row r="16" customFormat="false" ht="18" hidden="false" customHeight="true" outlineLevel="0" collapsed="false">
      <c r="A16" s="38" t="s">
        <v>211</v>
      </c>
      <c r="B16" s="38"/>
      <c r="C16" s="44" t="n">
        <f aca="false">450</f>
        <v>450</v>
      </c>
      <c r="D16" s="27"/>
      <c r="E16" s="27"/>
      <c r="F16" s="27"/>
    </row>
    <row r="17" customFormat="false" ht="21.75" hidden="false" customHeight="true" outlineLevel="0" collapsed="false">
      <c r="A17" s="68" t="s">
        <v>212</v>
      </c>
      <c r="B17" s="68"/>
      <c r="C17" s="69" t="n">
        <f aca="false">SUM(C12:C16)</f>
        <v>26383.0668269231</v>
      </c>
      <c r="D17" s="70"/>
      <c r="E17" s="70"/>
      <c r="F17" s="70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</row>
    <row r="19" customFormat="false" ht="19.5" hidden="false" customHeight="true" outlineLevel="0" collapsed="false">
      <c r="A19" s="42" t="s">
        <v>213</v>
      </c>
      <c r="B19" s="42"/>
      <c r="C19" s="42"/>
      <c r="D19" s="42"/>
      <c r="E19" s="42"/>
      <c r="F19" s="42"/>
    </row>
    <row r="20" customFormat="false" ht="18" hidden="false" customHeight="true" outlineLevel="0" collapsed="false">
      <c r="A20" s="38" t="s">
        <v>214</v>
      </c>
      <c r="B20" s="38"/>
      <c r="C20" s="39" t="str">
        <f aca="false">IFERROR(VLOOKUP(C2,'Country Data'!$A$3:$N$13,13,0),"—")&amp;" weeks"</f>
        <v>17 weeks</v>
      </c>
      <c r="D20" s="27"/>
      <c r="E20" s="27"/>
      <c r="F20" s="27"/>
    </row>
    <row r="21" customFormat="false" ht="18" hidden="false" customHeight="true" outlineLevel="0" collapsed="false">
      <c r="A21" s="38" t="s">
        <v>215</v>
      </c>
      <c r="B21" s="38"/>
      <c r="C21" s="39" t="str">
        <f aca="false">IFERROR(VLOOKUP(C2,'Country Data'!$A$3:$N$13,14,0),"—")&amp;" working days/yr"</f>
        <v>15 working days/yr</v>
      </c>
      <c r="D21" s="27"/>
      <c r="E21" s="27"/>
      <c r="F21" s="27"/>
    </row>
    <row r="22" customFormat="false" ht="18" hidden="false" customHeight="true" outlineLevel="0" collapsed="false">
      <c r="A22" s="38" t="s">
        <v>216</v>
      </c>
      <c r="B22" s="38"/>
      <c r="C22" s="39" t="str">
        <f aca="false">IFERROR(IF(VLOOKUP(C2,'Country Data'!$A$3:$N$13,12,0)=0,"None — employer bears full cost",VLOOKUP(C2,'Country Data'!$A$3:$N$13,12,0)&amp;"% of salary covered by govt"),"—")</f>
        <v>55% of salary covered by govt</v>
      </c>
      <c r="D22" s="27"/>
      <c r="E22" s="27"/>
      <c r="F22" s="27"/>
    </row>
    <row r="23" customFormat="false" ht="18" hidden="false" customHeight="true" outlineLevel="0" collapsed="false">
      <c r="A23" s="38" t="s">
        <v>217</v>
      </c>
      <c r="B23" s="38"/>
      <c r="C23" s="43" t="n">
        <f aca="false">IFERROR(VLOOKUP(C2,'Country Data'!$A$3:$N$13,10,0),0)</f>
        <v>8.27</v>
      </c>
      <c r="D23" s="27"/>
      <c r="E23" s="27"/>
      <c r="F23" s="27"/>
    </row>
  </sheetData>
  <mergeCells count="21">
    <mergeCell ref="A1:F1"/>
    <mergeCell ref="A2:B2"/>
    <mergeCell ref="A3:B3"/>
    <mergeCell ref="A4:B4"/>
    <mergeCell ref="A5:B5"/>
    <mergeCell ref="A7:F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9:F19"/>
    <mergeCell ref="A20:B20"/>
    <mergeCell ref="A21:B21"/>
    <mergeCell ref="A22:B22"/>
    <mergeCell ref="A23:B23"/>
  </mergeCells>
  <dataValidations count="3">
    <dataValidation allowBlank="false" errorStyle="stop" operator="between" showDropDown="false" showErrorMessage="false" showInputMessage="false" sqref="C2" type="list">
      <formula1>"Canada,Kenya,Ethiopia,Nigeria,Senegal,Tanzania,India,Bangladesh,Indonesia,Pakistan,Philippines"</formula1>
      <formula2>0</formula2>
    </dataValidation>
    <dataValidation allowBlank="false" errorStyle="stop" operator="between" showDropDown="false" showErrorMessage="false" showInputMessage="false" sqref="C3" type="list">
      <formula1>"Maternity / Parental,Medical / Sick Leave,Annual Leave,Long Service Leave"</formula1>
      <formula2>0</formula2>
    </dataValidation>
    <dataValidation allowBlank="false" errorStyle="stop" operator="between" showDropDown="false" showErrorMessage="false" showInputMessage="false" sqref="C5" type="list">
      <formula1>"Full backfill (hire temp),Partial redistribution (40%),No backfill"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8A"/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6" min="3" style="1" width="18"/>
    <col collapsed="false" customWidth="true" hidden="false" outlineLevel="0" max="9" min="7" style="1" width="5"/>
  </cols>
  <sheetData>
    <row r="1" customFormat="false" ht="30" hidden="false" customHeight="true" outlineLevel="0" collapsed="false">
      <c r="A1" s="34" t="s">
        <v>218</v>
      </c>
      <c r="B1" s="34"/>
      <c r="C1" s="34"/>
      <c r="D1" s="34"/>
      <c r="E1" s="34"/>
      <c r="F1" s="34"/>
      <c r="G1" s="34"/>
      <c r="H1" s="34"/>
      <c r="I1" s="34"/>
    </row>
    <row r="2" customFormat="false" ht="19.5" hidden="false" customHeight="true" outlineLevel="0" collapsed="false">
      <c r="A2" s="71" t="s">
        <v>219</v>
      </c>
      <c r="B2" s="71"/>
      <c r="C2" s="72" t="n">
        <f aca="false">Assumptions!B5</f>
        <v>45000</v>
      </c>
      <c r="D2" s="52" t="s">
        <v>220</v>
      </c>
      <c r="E2" s="52"/>
      <c r="F2" s="52"/>
      <c r="G2" s="52"/>
      <c r="H2" s="52"/>
      <c r="I2" s="52"/>
    </row>
    <row r="3" customFormat="false" ht="15" hidden="false" customHeight="true" outlineLevel="0" collapsed="false">
      <c r="A3" s="73" t="s">
        <v>221</v>
      </c>
      <c r="B3" s="73"/>
      <c r="C3" s="27"/>
      <c r="D3" s="27"/>
      <c r="E3" s="27"/>
      <c r="F3" s="27"/>
      <c r="G3" s="27"/>
      <c r="H3" s="27"/>
      <c r="I3" s="27"/>
    </row>
    <row r="4" customFormat="false" ht="21.75" hidden="false" customHeight="true" outlineLevel="0" collapsed="false">
      <c r="A4" s="27"/>
      <c r="B4" s="27"/>
      <c r="C4" s="74" t="s">
        <v>41</v>
      </c>
      <c r="D4" s="74" t="s">
        <v>46</v>
      </c>
      <c r="E4" s="74" t="s">
        <v>68</v>
      </c>
      <c r="F4" s="74" t="s">
        <v>55</v>
      </c>
      <c r="G4" s="27"/>
      <c r="H4" s="27"/>
      <c r="I4" s="27"/>
    </row>
    <row r="5" customFormat="false" ht="19.5" hidden="false" customHeight="true" outlineLevel="0" collapsed="false">
      <c r="A5" s="21" t="s">
        <v>222</v>
      </c>
      <c r="B5" s="21"/>
      <c r="C5" s="21"/>
      <c r="D5" s="21"/>
      <c r="E5" s="21"/>
      <c r="F5" s="21"/>
      <c r="G5" s="21"/>
      <c r="H5" s="21"/>
      <c r="I5" s="21"/>
    </row>
    <row r="6" customFormat="false" ht="19.5" hidden="false" customHeight="true" outlineLevel="0" collapsed="false">
      <c r="A6" s="75" t="s">
        <v>223</v>
      </c>
      <c r="B6" s="75"/>
      <c r="C6" s="40" t="n">
        <f aca="false">Assumptions!$B$5</f>
        <v>45000</v>
      </c>
      <c r="D6" s="40" t="n">
        <f aca="false">Assumptions!$B$5</f>
        <v>45000</v>
      </c>
      <c r="E6" s="40" t="n">
        <f aca="false">Assumptions!$B$5</f>
        <v>45000</v>
      </c>
      <c r="F6" s="40" t="n">
        <f aca="false">Assumptions!$B$5</f>
        <v>45000</v>
      </c>
      <c r="G6" s="27"/>
      <c r="H6" s="27"/>
      <c r="I6" s="27"/>
    </row>
    <row r="7" customFormat="false" ht="19.5" hidden="false" customHeight="true" outlineLevel="0" collapsed="false">
      <c r="A7" s="75" t="s">
        <v>224</v>
      </c>
      <c r="B7" s="75"/>
      <c r="C7" s="43" t="n">
        <f aca="false">IFERROR(VLOOKUP(C4,'Country Data'!$A$3:$N$13,10,0),0)</f>
        <v>8.27</v>
      </c>
      <c r="D7" s="43" t="n">
        <f aca="false">IFERROR(VLOOKUP(D4,'Country Data'!$A$3:$N$13,10,0),0)</f>
        <v>8.25</v>
      </c>
      <c r="E7" s="43" t="n">
        <f aca="false">IFERROR(VLOOKUP(E4,'Country Data'!$A$3:$N$13,10,0),0)</f>
        <v>20.06</v>
      </c>
      <c r="F7" s="43" t="n">
        <f aca="false">IFERROR(VLOOKUP(F4,'Country Data'!$A$3:$N$13,10,0),0)</f>
        <v>12</v>
      </c>
      <c r="G7" s="27"/>
      <c r="H7" s="27"/>
      <c r="I7" s="27"/>
    </row>
    <row r="8" customFormat="false" ht="19.5" hidden="false" customHeight="true" outlineLevel="0" collapsed="false">
      <c r="A8" s="75" t="s">
        <v>158</v>
      </c>
      <c r="B8" s="75"/>
      <c r="C8" s="40" t="n">
        <f aca="false">Assumptions!$B$5*IFERROR(VLOOKUP(C$4,'Country Data'!$A$3:$N$13,10,0),0)</f>
        <v>372150</v>
      </c>
      <c r="D8" s="40" t="n">
        <f aca="false">Assumptions!$B$5*IFERROR(VLOOKUP(D$4,'Country Data'!$A$3:$N$13,10,0),0)</f>
        <v>371250</v>
      </c>
      <c r="E8" s="40" t="n">
        <f aca="false">Assumptions!$B$5*IFERROR(VLOOKUP(E$4,'Country Data'!$A$3:$N$13,10,0),0)</f>
        <v>902700</v>
      </c>
      <c r="F8" s="40" t="n">
        <f aca="false">Assumptions!$B$5*IFERROR(VLOOKUP(F$4,'Country Data'!$A$3:$N$13,10,0),0)</f>
        <v>540000</v>
      </c>
      <c r="G8" s="27"/>
      <c r="H8" s="27"/>
      <c r="I8" s="27"/>
    </row>
    <row r="9" customFormat="false" ht="19.5" hidden="false" customHeight="true" outlineLevel="0" collapsed="false">
      <c r="A9" s="75" t="s">
        <v>225</v>
      </c>
      <c r="B9" s="75"/>
      <c r="C9" s="40" t="n">
        <f aca="false">Assumptions!$B$5*IFERROR(VLOOKUP(C$4,'Country Data'!$A$3:$N$13,11,0),0)</f>
        <v>315000</v>
      </c>
      <c r="D9" s="40" t="n">
        <f aca="false">Assumptions!$B$5*IFERROR(VLOOKUP(D$4,'Country Data'!$A$3:$N$13,11,0),0)</f>
        <v>180000</v>
      </c>
      <c r="E9" s="40" t="n">
        <f aca="false">Assumptions!$B$5*IFERROR(VLOOKUP(E$4,'Country Data'!$A$3:$N$13,11,0),0)</f>
        <v>157500</v>
      </c>
      <c r="F9" s="40" t="n">
        <f aca="false">Assumptions!$B$5*IFERROR(VLOOKUP(F$4,'Country Data'!$A$3:$N$13,11,0),0)</f>
        <v>202500</v>
      </c>
      <c r="G9" s="27"/>
      <c r="H9" s="27"/>
      <c r="I9" s="27"/>
    </row>
    <row r="10" customFormat="false" ht="19.5" hidden="false" customHeight="true" outlineLevel="0" collapsed="false">
      <c r="A10" s="76" t="s">
        <v>162</v>
      </c>
      <c r="B10" s="76"/>
      <c r="C10" s="77" t="n">
        <f aca="false">Assumptions!$B$5+Assumptions!$B$5*IFERROR(VLOOKUP(C$4,'Country Data'!$A$3:$N$13,10,0),0)+Assumptions!$B$5*IFERROR(VLOOKUP(C$4,'Country Data'!$A$3:$N$13,11,0),0)</f>
        <v>732150</v>
      </c>
      <c r="D10" s="77" t="n">
        <f aca="false">Assumptions!$B$5+Assumptions!$B$5*IFERROR(VLOOKUP(D$4,'Country Data'!$A$3:$N$13,10,0),0)+Assumptions!$B$5*IFERROR(VLOOKUP(D$4,'Country Data'!$A$3:$N$13,11,0),0)</f>
        <v>596250</v>
      </c>
      <c r="E10" s="77" t="n">
        <f aca="false">Assumptions!$B$5+Assumptions!$B$5*IFERROR(VLOOKUP(E$4,'Country Data'!$A$3:$N$13,10,0),0)+Assumptions!$B$5*IFERROR(VLOOKUP(E$4,'Country Data'!$A$3:$N$13,11,0),0)</f>
        <v>1105200</v>
      </c>
      <c r="F10" s="77" t="n">
        <f aca="false">Assumptions!$B$5+Assumptions!$B$5*IFERROR(VLOOKUP(F$4,'Country Data'!$A$3:$N$13,10,0),0)+Assumptions!$B$5*IFERROR(VLOOKUP(F$4,'Country Data'!$A$3:$N$13,11,0),0)</f>
        <v>787500</v>
      </c>
      <c r="G10" s="27"/>
      <c r="H10" s="27"/>
      <c r="I10" s="27"/>
    </row>
    <row r="11" customFormat="false" ht="19.5" hidden="false" customHeight="true" outlineLevel="0" collapsed="false">
      <c r="A11" s="75" t="s">
        <v>226</v>
      </c>
      <c r="B11" s="75"/>
      <c r="C11" s="43" t="n">
        <f aca="false">IFERROR((C10-Assumptions!$B$5)/Assumptions!$B$5,0)</f>
        <v>15.27</v>
      </c>
      <c r="D11" s="43" t="n">
        <f aca="false">IFERROR((D10-Assumptions!$B$5)/Assumptions!$B$5,0)</f>
        <v>12.25</v>
      </c>
      <c r="E11" s="43" t="n">
        <f aca="false">IFERROR((E10-Assumptions!$B$5)/Assumptions!$B$5,0)</f>
        <v>23.56</v>
      </c>
      <c r="F11" s="43" t="n">
        <f aca="false">IFERROR((F10-Assumptions!$B$5)/Assumptions!$B$5,0)</f>
        <v>16.5</v>
      </c>
      <c r="G11" s="27"/>
      <c r="H11" s="27"/>
      <c r="I11" s="27"/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7"/>
    </row>
    <row r="13" customFormat="false" ht="19.5" hidden="false" customHeight="true" outlineLevel="0" collapsed="false">
      <c r="A13" s="56" t="s">
        <v>227</v>
      </c>
      <c r="B13" s="56"/>
      <c r="C13" s="56"/>
      <c r="D13" s="56"/>
      <c r="E13" s="56"/>
      <c r="F13" s="56"/>
      <c r="G13" s="56"/>
      <c r="H13" s="56"/>
      <c r="I13" s="56"/>
    </row>
    <row r="14" customFormat="false" ht="19.5" hidden="false" customHeight="true" outlineLevel="0" collapsed="false">
      <c r="A14" s="75" t="s">
        <v>228</v>
      </c>
      <c r="B14" s="75"/>
      <c r="C14" s="40" t="n">
        <f aca="false">Assumptions!$B$5*Assumptions!$B$9+Assumptions!$B$10+(Assumptions!$B$5/260)*Assumptions!$B$11/8</f>
        <v>8889.42307692308</v>
      </c>
      <c r="D14" s="40" t="n">
        <f aca="false">Assumptions!$B$5*Assumptions!$B$9+Assumptions!$B$10+(Assumptions!$B$5/260)*Assumptions!$B$11/8</f>
        <v>8889.42307692308</v>
      </c>
      <c r="E14" s="40" t="n">
        <f aca="false">Assumptions!$B$5*Assumptions!$B$9+Assumptions!$B$10+(Assumptions!$B$5/260)*Assumptions!$B$11/8</f>
        <v>8889.42307692308</v>
      </c>
      <c r="F14" s="40" t="n">
        <f aca="false">Assumptions!$B$5*Assumptions!$B$9+Assumptions!$B$10+(Assumptions!$B$5/260)*Assumptions!$B$11/8</f>
        <v>8889.42307692308</v>
      </c>
      <c r="G14" s="27"/>
      <c r="H14" s="27"/>
      <c r="I14" s="27"/>
    </row>
    <row r="15" customFormat="false" ht="19.5" hidden="false" customHeight="true" outlineLevel="0" collapsed="false">
      <c r="A15" s="75" t="s">
        <v>229</v>
      </c>
      <c r="B15" s="75"/>
      <c r="C15" s="40" t="n">
        <f aca="false">IFERROR(VLOOKUP(C$4,replacement!$h$3:$i$13,2,0),100)</f>
        <v>100</v>
      </c>
      <c r="D15" s="40" t="n">
        <f aca="false">IFERROR(VLOOKUP(D$4,replacement!$h$3:$i$13,2,0),100)</f>
        <v>100</v>
      </c>
      <c r="E15" s="40" t="n">
        <f aca="false">IFERROR(VLOOKUP(E$4,replacement!$h$3:$i$13,2,0),100)</f>
        <v>100</v>
      </c>
      <c r="F15" s="40" t="n">
        <f aca="false">IFERROR(VLOOKUP(F$4,replacement!$h$3:$i$13,2,0),100)</f>
        <v>100</v>
      </c>
      <c r="G15" s="27"/>
      <c r="H15" s="27"/>
      <c r="I15" s="27"/>
    </row>
    <row r="16" customFormat="false" ht="19.5" hidden="false" customHeight="true" outlineLevel="0" collapsed="false">
      <c r="A16" s="75" t="s">
        <v>230</v>
      </c>
      <c r="B16" s="75"/>
      <c r="C16" s="40" t="n">
        <f aca="false">Assumptions!$B$12</f>
        <v>2000</v>
      </c>
      <c r="D16" s="40" t="n">
        <f aca="false">Assumptions!$B$12</f>
        <v>2000</v>
      </c>
      <c r="E16" s="40" t="n">
        <f aca="false">Assumptions!$B$12</f>
        <v>2000</v>
      </c>
      <c r="F16" s="40" t="n">
        <f aca="false">Assumptions!$B$12</f>
        <v>2000</v>
      </c>
      <c r="G16" s="27"/>
      <c r="H16" s="27"/>
      <c r="I16" s="27"/>
    </row>
    <row r="17" customFormat="false" ht="19.5" hidden="false" customHeight="true" outlineLevel="0" collapsed="false">
      <c r="A17" s="75" t="s">
        <v>231</v>
      </c>
      <c r="B17" s="75"/>
      <c r="C17" s="40" t="n">
        <f aca="false">Assumptions!$B$5*(Assumptions!$B$13/12)*(1-Assumptions!$B$14)</f>
        <v>5062.5</v>
      </c>
      <c r="D17" s="40" t="n">
        <f aca="false">Assumptions!$B$5*(Assumptions!$B$13/12)*(1-Assumptions!$B$14)</f>
        <v>5062.5</v>
      </c>
      <c r="E17" s="40" t="n">
        <f aca="false">Assumptions!$B$5*(Assumptions!$B$13/12)*(1-Assumptions!$B$14)</f>
        <v>5062.5</v>
      </c>
      <c r="F17" s="40" t="n">
        <f aca="false">Assumptions!$B$5*(Assumptions!$B$13/12)*(1-Assumptions!$B$14)</f>
        <v>5062.5</v>
      </c>
      <c r="G17" s="27"/>
      <c r="H17" s="27"/>
      <c r="I17" s="27"/>
    </row>
    <row r="18" customFormat="false" ht="19.5" hidden="false" customHeight="true" outlineLevel="0" collapsed="false">
      <c r="A18" s="75" t="s">
        <v>124</v>
      </c>
      <c r="B18" s="75"/>
      <c r="C18" s="40" t="n">
        <f aca="false">Assumptions!$B$5*Assumptions!$B$15</f>
        <v>4500</v>
      </c>
      <c r="D18" s="40" t="n">
        <f aca="false">Assumptions!$B$5*Assumptions!$B$15</f>
        <v>4500</v>
      </c>
      <c r="E18" s="40" t="n">
        <f aca="false">Assumptions!$B$5*Assumptions!$B$15</f>
        <v>4500</v>
      </c>
      <c r="F18" s="40" t="n">
        <f aca="false">Assumptions!$B$5*Assumptions!$B$15</f>
        <v>4500</v>
      </c>
      <c r="G18" s="27"/>
      <c r="H18" s="27"/>
      <c r="I18" s="27"/>
    </row>
    <row r="19" customFormat="false" ht="19.5" hidden="false" customHeight="true" outlineLevel="0" collapsed="false">
      <c r="A19" s="76" t="s">
        <v>188</v>
      </c>
      <c r="B19" s="76"/>
      <c r="C19" s="77" t="n">
        <f aca="false">Assumptions!$B$5*Assumptions!$B$9+Assumptions!$B$10+(Assumptions!$B$5/260)*Assumptions!$B$11/8+IFERROR(VLOOKUP(C$4,replacement!$h$3:$i$13,2,0),100)+Assumptions!$B$12+Assumptions!$B$5*(Assumptions!$B$13/12)*(1-Assumptions!$B$14)+Assumptions!$B$5*Assumptions!$B$15</f>
        <v>20551.9230769231</v>
      </c>
      <c r="D19" s="77" t="n">
        <f aca="false">Assumptions!$B$5*Assumptions!$B$9+Assumptions!$B$10+(Assumptions!$B$5/260)*Assumptions!$B$11/8+IFERROR(VLOOKUP(D$4,replacement!$h$3:$i$13,2,0),100)+Assumptions!$B$12+Assumptions!$B$5*(Assumptions!$B$13/12)*(1-Assumptions!$B$14)+Assumptions!$B$5*Assumptions!$B$15</f>
        <v>20551.9230769231</v>
      </c>
      <c r="E19" s="77" t="n">
        <f aca="false">Assumptions!$B$5*Assumptions!$B$9+Assumptions!$B$10+(Assumptions!$B$5/260)*Assumptions!$B$11/8+IFERROR(VLOOKUP(E$4,replacement!$h$3:$i$13,2,0),100)+Assumptions!$B$12+Assumptions!$B$5*(Assumptions!$B$13/12)*(1-Assumptions!$B$14)+Assumptions!$B$5*Assumptions!$B$15</f>
        <v>20551.9230769231</v>
      </c>
      <c r="F19" s="77" t="n">
        <f aca="false">Assumptions!$B$5*Assumptions!$B$9+Assumptions!$B$10+(Assumptions!$B$5/260)*Assumptions!$B$11/8+IFERROR(VLOOKUP(F$4,replacement!$h$3:$i$13,2,0),100)+Assumptions!$B$12+Assumptions!$B$5*(Assumptions!$B$13/12)*(1-Assumptions!$B$14)+Assumptions!$B$5*Assumptions!$B$15</f>
        <v>20551.9230769231</v>
      </c>
      <c r="G19" s="27"/>
      <c r="H19" s="27"/>
      <c r="I19" s="27"/>
    </row>
    <row r="20" customFormat="false" ht="19.5" hidden="false" customHeight="true" outlineLevel="0" collapsed="false">
      <c r="A20" s="75" t="s">
        <v>232</v>
      </c>
      <c r="B20" s="75"/>
      <c r="C20" s="43" t="n">
        <f aca="false">IFERROR(C19/Assumptions!$B$5,0)</f>
        <v>0.456709401709402</v>
      </c>
      <c r="D20" s="43" t="n">
        <f aca="false">IFERROR(D19/Assumptions!$B$5,0)</f>
        <v>0.456709401709402</v>
      </c>
      <c r="E20" s="43" t="n">
        <f aca="false">IFERROR(E19/Assumptions!$B$5,0)</f>
        <v>0.456709401709402</v>
      </c>
      <c r="F20" s="43" t="n">
        <f aca="false">IFERROR(F19/Assumptions!$B$5,0)</f>
        <v>0.456709401709402</v>
      </c>
      <c r="G20" s="27"/>
      <c r="H20" s="27"/>
      <c r="I20" s="27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7"/>
    </row>
    <row r="22" customFormat="false" ht="19.5" hidden="false" customHeight="true" outlineLevel="0" collapsed="false">
      <c r="A22" s="21" t="s">
        <v>233</v>
      </c>
      <c r="B22" s="21"/>
      <c r="C22" s="21"/>
      <c r="D22" s="21"/>
      <c r="E22" s="21"/>
      <c r="F22" s="21"/>
      <c r="G22" s="21"/>
      <c r="H22" s="21"/>
      <c r="I22" s="21"/>
    </row>
    <row r="23" customFormat="false" ht="19.5" hidden="false" customHeight="true" outlineLevel="0" collapsed="false">
      <c r="A23" s="75" t="s">
        <v>234</v>
      </c>
      <c r="B23" s="75"/>
      <c r="C23" s="78" t="n">
        <f aca="false">IFERROR(VLOOKUP(C$4,'Country Data'!$A$3:$N$13,13,0),0)</f>
        <v>17</v>
      </c>
      <c r="D23" s="78" t="n">
        <f aca="false">IFERROR(VLOOKUP(D$4,'Country Data'!$A$3:$N$13,13,0),0)</f>
        <v>13</v>
      </c>
      <c r="E23" s="78" t="n">
        <f aca="false">IFERROR(VLOOKUP(E$4,'Country Data'!$A$3:$N$13,13,0),0)</f>
        <v>26</v>
      </c>
      <c r="F23" s="78" t="n">
        <f aca="false">IFERROR(VLOOKUP(F$4,'Country Data'!$A$3:$N$13,13,0),0)</f>
        <v>12</v>
      </c>
      <c r="G23" s="27"/>
      <c r="H23" s="27"/>
      <c r="I23" s="27"/>
    </row>
    <row r="24" customFormat="false" ht="19.5" hidden="false" customHeight="true" outlineLevel="0" collapsed="false">
      <c r="A24" s="75" t="s">
        <v>235</v>
      </c>
      <c r="B24" s="75"/>
      <c r="C24" s="43" t="n">
        <f aca="false">IFERROR(VLOOKUP(C$4,'Country Data'!$A$3:$N$13,12,0),0)</f>
        <v>55</v>
      </c>
      <c r="D24" s="43" t="n">
        <f aca="false">IFERROR(VLOOKUP(D$4,'Country Data'!$A$3:$N$13,12,0),0)</f>
        <v>0</v>
      </c>
      <c r="E24" s="43" t="n">
        <f aca="false">IFERROR(VLOOKUP(E$4,'Country Data'!$A$3:$N$13,12,0),0)</f>
        <v>0</v>
      </c>
      <c r="F24" s="43" t="n">
        <f aca="false">IFERROR(VLOOKUP(F$4,'Country Data'!$A$3:$N$13,12,0),0)</f>
        <v>0</v>
      </c>
      <c r="G24" s="27"/>
      <c r="H24" s="27"/>
      <c r="I24" s="27"/>
    </row>
    <row r="25" customFormat="false" ht="19.5" hidden="false" customHeight="true" outlineLevel="0" collapsed="false">
      <c r="A25" s="75" t="s">
        <v>236</v>
      </c>
      <c r="B25" s="75"/>
      <c r="C25" s="40" t="n">
        <f aca="false">(Assumptions!$B$5/52)*17*(1-IFERROR(VLOOKUP(C$4,'Country Data'!$A$3:$N$13,12,0),0)/100)</f>
        <v>6620.19230769231</v>
      </c>
      <c r="D25" s="40" t="n">
        <f aca="false">(Assumptions!$B$5/52)*17*(1-IFERROR(VLOOKUP(D$4,'Country Data'!$A$3:$N$13,12,0),0)/100)</f>
        <v>14711.5384615385</v>
      </c>
      <c r="E25" s="40" t="n">
        <f aca="false">(Assumptions!$B$5/52)*17*(1-IFERROR(VLOOKUP(E$4,'Country Data'!$A$3:$N$13,12,0),0)/100)</f>
        <v>14711.5384615385</v>
      </c>
      <c r="F25" s="40" t="n">
        <f aca="false">(Assumptions!$B$5/52)*17*(1-IFERROR(VLOOKUP(F$4,'Country Data'!$A$3:$N$13,12,0),0)/100)</f>
        <v>14711.5384615385</v>
      </c>
      <c r="G25" s="27"/>
      <c r="H25" s="27"/>
      <c r="I25" s="27"/>
    </row>
    <row r="26" customFormat="false" ht="19.5" hidden="false" customHeight="true" outlineLevel="0" collapsed="false">
      <c r="A26" s="75" t="s">
        <v>237</v>
      </c>
      <c r="B26" s="75"/>
      <c r="C26" s="40" t="n">
        <f aca="false">Assumptions!$B$18*17*5</f>
        <v>17000</v>
      </c>
      <c r="D26" s="40" t="n">
        <f aca="false">Assumptions!$B$18*17*5</f>
        <v>17000</v>
      </c>
      <c r="E26" s="40" t="n">
        <f aca="false">Assumptions!$B$18*17*5</f>
        <v>17000</v>
      </c>
      <c r="F26" s="40" t="n">
        <f aca="false">Assumptions!$B$18*17*5</f>
        <v>17000</v>
      </c>
      <c r="G26" s="27"/>
      <c r="H26" s="27"/>
      <c r="I26" s="27"/>
    </row>
    <row r="27" customFormat="false" ht="19.5" hidden="false" customHeight="true" outlineLevel="0" collapsed="false">
      <c r="A27" s="76" t="s">
        <v>238</v>
      </c>
      <c r="B27" s="76"/>
      <c r="C27" s="77" t="n">
        <f aca="false">(Assumptions!$B$5/52)*17*(1-IFERROR(VLOOKUP(C$4,'Country Data'!$A$3:$N$13,12,0),0)/100)+Assumptions!$B$18*17*5+(Assumptions!$B$5/52)*17*Assumptions!$B$22+450</f>
        <v>25835.5769230769</v>
      </c>
      <c r="D27" s="77" t="n">
        <f aca="false">(Assumptions!$B$5/52)*17*(1-IFERROR(VLOOKUP(D$4,'Country Data'!$A$3:$N$13,12,0),0)/100)+Assumptions!$B$18*17*5+(Assumptions!$B$5/52)*17*Assumptions!$B$22+450</f>
        <v>33926.9230769231</v>
      </c>
      <c r="E27" s="77" t="n">
        <f aca="false">(Assumptions!$B$5/52)*17*(1-IFERROR(VLOOKUP(E$4,'Country Data'!$A$3:$N$13,12,0),0)/100)+Assumptions!$B$18*17*5+(Assumptions!$B$5/52)*17*Assumptions!$B$22+450</f>
        <v>33926.9230769231</v>
      </c>
      <c r="F27" s="77" t="n">
        <f aca="false">(Assumptions!$B$5/52)*17*(1-IFERROR(VLOOKUP(F$4,'Country Data'!$A$3:$N$13,12,0),0)/100)+Assumptions!$B$18*17*5+(Assumptions!$B$5/52)*17*Assumptions!$B$22+450</f>
        <v>33926.9230769231</v>
      </c>
      <c r="G27" s="27"/>
      <c r="H27" s="27"/>
      <c r="I27" s="27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7"/>
    </row>
    <row r="29" customFormat="false" ht="19.5" hidden="false" customHeight="true" outlineLevel="0" collapsed="false">
      <c r="A29" s="79" t="s">
        <v>239</v>
      </c>
      <c r="B29" s="79"/>
      <c r="C29" s="80" t="n">
        <f aca="false">IFERROR(C10+C19,0)</f>
        <v>752701.923076923</v>
      </c>
      <c r="D29" s="80" t="n">
        <f aca="false">IFERROR(D10+D19,0)</f>
        <v>616801.923076923</v>
      </c>
      <c r="E29" s="80" t="n">
        <f aca="false">IFERROR(E10+E19,0)</f>
        <v>1125751.92307692</v>
      </c>
      <c r="F29" s="80" t="n">
        <f aca="false">IFERROR(F10+F19,0)</f>
        <v>808051.923076923</v>
      </c>
      <c r="G29" s="27"/>
      <c r="H29" s="27"/>
      <c r="I29" s="27"/>
    </row>
    <row r="30" customFormat="false" ht="19.5" hidden="false" customHeight="true" outlineLevel="0" collapsed="false">
      <c r="A30" s="75" t="s">
        <v>240</v>
      </c>
      <c r="B30" s="75"/>
      <c r="C30" s="40" t="n">
        <f aca="false">IFERROR(C10+C19+C27,0)</f>
        <v>778537.5</v>
      </c>
      <c r="D30" s="40" t="n">
        <f aca="false">IFERROR(D10+D19+D27,0)</f>
        <v>650728.846153846</v>
      </c>
      <c r="E30" s="40" t="n">
        <f aca="false">IFERROR(E10+E19+E27,0)</f>
        <v>1159678.84615385</v>
      </c>
      <c r="F30" s="40" t="n">
        <f aca="false">IFERROR(F10+F19+F27,0)</f>
        <v>841978.846153846</v>
      </c>
      <c r="G30" s="27"/>
      <c r="H30" s="27"/>
      <c r="I30" s="27"/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7"/>
      <c r="H31" s="27"/>
      <c r="I31" s="27"/>
    </row>
    <row r="32" customFormat="false" ht="27.75" hidden="false" customHeight="true" outlineLevel="0" collapsed="false">
      <c r="A32" s="81" t="s">
        <v>241</v>
      </c>
      <c r="B32" s="81"/>
      <c r="C32" s="81"/>
      <c r="D32" s="81"/>
      <c r="E32" s="81"/>
      <c r="F32" s="81"/>
      <c r="G32" s="81"/>
      <c r="H32" s="81"/>
      <c r="I32" s="81"/>
    </row>
  </sheetData>
  <mergeCells count="28">
    <mergeCell ref="A1:I1"/>
    <mergeCell ref="A2:B2"/>
    <mergeCell ref="D2:I2"/>
    <mergeCell ref="A3:B3"/>
    <mergeCell ref="A5:I5"/>
    <mergeCell ref="A6:B6"/>
    <mergeCell ref="A7:B7"/>
    <mergeCell ref="A8:B8"/>
    <mergeCell ref="A9:B9"/>
    <mergeCell ref="A10:B10"/>
    <mergeCell ref="A11:B11"/>
    <mergeCell ref="A13:I13"/>
    <mergeCell ref="A14:B14"/>
    <mergeCell ref="A15:B15"/>
    <mergeCell ref="A16:B16"/>
    <mergeCell ref="A17:B17"/>
    <mergeCell ref="A18:B18"/>
    <mergeCell ref="A19:B19"/>
    <mergeCell ref="A20:B20"/>
    <mergeCell ref="A22:I22"/>
    <mergeCell ref="A23:B23"/>
    <mergeCell ref="A24:B24"/>
    <mergeCell ref="A25:B25"/>
    <mergeCell ref="A26:B26"/>
    <mergeCell ref="A27:B27"/>
    <mergeCell ref="A29:B29"/>
    <mergeCell ref="A30:B30"/>
    <mergeCell ref="A32:I32"/>
  </mergeCells>
  <dataValidations count="4">
    <dataValidation allowBlank="false" errorStyle="stop" operator="between" showDropDown="false" showErrorMessage="false" showInputMessage="false" sqref="C4" type="list">
      <formula1>"Canada,Kenya,Ethiopia,Nigeria,Senegal,Tanzania,India,Bangladesh,Indonesia,Pakistan,Philippines"</formula1>
      <formula2>0</formula2>
    </dataValidation>
    <dataValidation allowBlank="false" errorStyle="stop" operator="between" showDropDown="false" showErrorMessage="false" showInputMessage="false" sqref="D4" type="list">
      <formula1>"Canada,Kenya,Ethiopia,Nigeria,Senegal,Tanzania,India,Bangladesh,Indonesia,Pakistan,Philippines"</formula1>
      <formula2>0</formula2>
    </dataValidation>
    <dataValidation allowBlank="false" errorStyle="stop" operator="between" showDropDown="false" showErrorMessage="false" showInputMessage="false" sqref="E4" type="list">
      <formula1>"Canada,Kenya,Ethiopia,Nigeria,Senegal,Tanzania,India,Bangladesh,Indonesia,Pakistan,Philippines"</formula1>
      <formula2>0</formula2>
    </dataValidation>
    <dataValidation allowBlank="false" errorStyle="stop" operator="between" showDropDown="false" showErrorMessage="false" showInputMessage="false" sqref="F4" type="list">
      <formula1>"Canada,Kenya,Ethiopia,Nigeria,Senegal,Tanzania,India,Bangladesh,Indonesia,Pakistan,Philippines"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2026-05-22T14:05:17Z</dcterms:created>
  <dc:creator>openpyxl</dc:creator>
  <dc:description/>
  <dc:language>en-US</dc:language>
  <cp:lastModifiedBy/>
  <dcterms:modified xsi:type="dcterms:W3CDTF">2026-05-22T14:13:43Z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